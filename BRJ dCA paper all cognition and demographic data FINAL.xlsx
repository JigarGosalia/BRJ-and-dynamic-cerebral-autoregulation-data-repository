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etS and Cog Study ALL DATA\V5 data\Cognitive Data\"/>
    </mc:Choice>
  </mc:AlternateContent>
  <xr:revisionPtr revIDLastSave="0" documentId="13_ncr:1_{525F1841-3808-4286-A389-544E6F07A9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COG data V2 and V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C31" i="1"/>
  <c r="D31" i="1"/>
  <c r="E31" i="1"/>
  <c r="F31" i="1"/>
  <c r="G31" i="1"/>
  <c r="H31" i="1"/>
  <c r="I31" i="1"/>
  <c r="J31" i="1"/>
  <c r="K31" i="1"/>
  <c r="L31" i="1"/>
  <c r="M31" i="1"/>
  <c r="N31" i="1"/>
  <c r="C32" i="1"/>
  <c r="D32" i="1"/>
  <c r="E32" i="1"/>
  <c r="F32" i="1"/>
  <c r="G32" i="1"/>
  <c r="H32" i="1"/>
  <c r="I32" i="1"/>
  <c r="J32" i="1"/>
  <c r="K32" i="1"/>
  <c r="L32" i="1"/>
  <c r="M32" i="1"/>
  <c r="N32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C36" i="1"/>
  <c r="D36" i="1"/>
  <c r="E36" i="1"/>
  <c r="F36" i="1"/>
  <c r="G36" i="1"/>
  <c r="H36" i="1"/>
  <c r="I36" i="1"/>
  <c r="J36" i="1"/>
  <c r="K36" i="1"/>
  <c r="L36" i="1"/>
  <c r="M36" i="1"/>
  <c r="N36" i="1"/>
  <c r="C37" i="1"/>
  <c r="D37" i="1"/>
  <c r="E37" i="1"/>
  <c r="F37" i="1"/>
  <c r="G37" i="1"/>
  <c r="H37" i="1"/>
  <c r="I37" i="1"/>
  <c r="J37" i="1"/>
  <c r="K37" i="1"/>
  <c r="L37" i="1"/>
  <c r="M37" i="1"/>
  <c r="N37" i="1"/>
  <c r="C38" i="1"/>
  <c r="D38" i="1"/>
  <c r="E38" i="1"/>
  <c r="F38" i="1"/>
  <c r="G38" i="1"/>
  <c r="H38" i="1"/>
  <c r="I38" i="1"/>
  <c r="J38" i="1"/>
  <c r="K38" i="1"/>
  <c r="L38" i="1"/>
  <c r="M38" i="1"/>
  <c r="N38" i="1"/>
  <c r="C39" i="1"/>
  <c r="D39" i="1"/>
  <c r="E39" i="1"/>
  <c r="F39" i="1"/>
  <c r="G39" i="1"/>
  <c r="H39" i="1"/>
  <c r="I39" i="1"/>
  <c r="J39" i="1"/>
  <c r="K39" i="1"/>
  <c r="L39" i="1"/>
  <c r="M39" i="1"/>
  <c r="N39" i="1"/>
  <c r="C40" i="1"/>
  <c r="D40" i="1"/>
  <c r="E40" i="1"/>
  <c r="F40" i="1"/>
  <c r="G40" i="1"/>
  <c r="H40" i="1"/>
  <c r="I40" i="1"/>
  <c r="J40" i="1"/>
  <c r="K40" i="1"/>
  <c r="L40" i="1"/>
  <c r="M40" i="1"/>
  <c r="N40" i="1"/>
  <c r="C41" i="1"/>
  <c r="D41" i="1"/>
  <c r="E41" i="1"/>
  <c r="F41" i="1"/>
  <c r="G41" i="1"/>
  <c r="H41" i="1"/>
  <c r="I41" i="1"/>
  <c r="J41" i="1"/>
  <c r="K41" i="1"/>
  <c r="L41" i="1"/>
  <c r="M41" i="1"/>
  <c r="N41" i="1"/>
  <c r="C42" i="1"/>
  <c r="D42" i="1"/>
  <c r="E42" i="1"/>
  <c r="G42" i="1"/>
  <c r="H42" i="1"/>
  <c r="I42" i="1"/>
  <c r="J42" i="1"/>
  <c r="K42" i="1"/>
  <c r="L42" i="1"/>
  <c r="M42" i="1"/>
  <c r="N42" i="1"/>
  <c r="C43" i="1"/>
  <c r="D43" i="1"/>
  <c r="E43" i="1"/>
  <c r="F43" i="1"/>
  <c r="G43" i="1"/>
  <c r="H43" i="1"/>
  <c r="I43" i="1"/>
  <c r="J43" i="1"/>
  <c r="K43" i="1"/>
  <c r="L43" i="1"/>
  <c r="M43" i="1"/>
  <c r="N43" i="1"/>
  <c r="C44" i="1"/>
  <c r="D44" i="1"/>
  <c r="E44" i="1"/>
  <c r="F44" i="1"/>
  <c r="G44" i="1"/>
  <c r="H44" i="1"/>
  <c r="I44" i="1"/>
  <c r="J44" i="1"/>
  <c r="K44" i="1"/>
  <c r="L44" i="1"/>
  <c r="M44" i="1"/>
  <c r="N44" i="1"/>
  <c r="C45" i="1"/>
  <c r="D45" i="1"/>
  <c r="E45" i="1"/>
  <c r="F45" i="1"/>
  <c r="G45" i="1"/>
  <c r="H45" i="1"/>
  <c r="I45" i="1"/>
  <c r="J45" i="1"/>
  <c r="K45" i="1"/>
  <c r="L45" i="1"/>
  <c r="M45" i="1"/>
  <c r="N45" i="1"/>
  <c r="C46" i="1"/>
  <c r="D46" i="1"/>
  <c r="E46" i="1"/>
  <c r="F46" i="1"/>
  <c r="G46" i="1"/>
  <c r="H46" i="1"/>
  <c r="I46" i="1"/>
  <c r="J46" i="1"/>
  <c r="K46" i="1"/>
  <c r="L46" i="1"/>
  <c r="M46" i="1"/>
  <c r="N46" i="1"/>
  <c r="C47" i="1"/>
  <c r="D47" i="1"/>
  <c r="E47" i="1"/>
  <c r="F47" i="1"/>
  <c r="G47" i="1"/>
  <c r="H47" i="1"/>
  <c r="I47" i="1"/>
  <c r="J47" i="1"/>
  <c r="K47" i="1"/>
  <c r="L47" i="1"/>
  <c r="M47" i="1"/>
  <c r="N47" i="1"/>
  <c r="C48" i="1"/>
  <c r="D48" i="1"/>
  <c r="E48" i="1"/>
  <c r="F48" i="1"/>
  <c r="G48" i="1"/>
  <c r="H48" i="1"/>
  <c r="I48" i="1"/>
  <c r="J48" i="1"/>
  <c r="K48" i="1"/>
  <c r="L48" i="1"/>
  <c r="M48" i="1"/>
  <c r="N48" i="1"/>
  <c r="C49" i="1"/>
  <c r="D49" i="1"/>
  <c r="E49" i="1"/>
  <c r="F49" i="1"/>
  <c r="G49" i="1"/>
  <c r="H49" i="1"/>
  <c r="I49" i="1"/>
  <c r="J49" i="1"/>
  <c r="K49" i="1"/>
  <c r="L49" i="1"/>
  <c r="M49" i="1"/>
  <c r="N49" i="1"/>
  <c r="C50" i="1"/>
  <c r="D50" i="1"/>
  <c r="E50" i="1"/>
  <c r="F50" i="1"/>
  <c r="G50" i="1"/>
  <c r="H50" i="1"/>
  <c r="I50" i="1"/>
  <c r="J50" i="1"/>
  <c r="K50" i="1"/>
  <c r="L50" i="1"/>
  <c r="M50" i="1"/>
  <c r="N50" i="1"/>
  <c r="C51" i="1"/>
  <c r="D51" i="1"/>
  <c r="E51" i="1"/>
  <c r="F51" i="1"/>
  <c r="G51" i="1"/>
  <c r="H51" i="1"/>
  <c r="I51" i="1"/>
  <c r="J51" i="1"/>
  <c r="K51" i="1"/>
  <c r="L51" i="1"/>
  <c r="M51" i="1"/>
  <c r="N51" i="1"/>
  <c r="N30" i="1"/>
  <c r="M30" i="1"/>
  <c r="L30" i="1"/>
  <c r="K30" i="1"/>
  <c r="J30" i="1"/>
  <c r="I30" i="1"/>
  <c r="H30" i="1"/>
  <c r="G30" i="1"/>
  <c r="F30" i="1"/>
  <c r="E30" i="1"/>
  <c r="D30" i="1"/>
  <c r="C30" i="1"/>
</calcChain>
</file>

<file path=xl/sharedStrings.xml><?xml version="1.0" encoding="utf-8"?>
<sst xmlns="http://schemas.openxmlformats.org/spreadsheetml/2006/main" count="139" uniqueCount="98">
  <si>
    <t>ID</t>
  </si>
  <si>
    <t>Treatment</t>
  </si>
  <si>
    <t>Totalerrorsv2</t>
  </si>
  <si>
    <t>MeanAccv2</t>
  </si>
  <si>
    <t>meanerrorv2</t>
  </si>
  <si>
    <t>IncongruentMeanv2</t>
  </si>
  <si>
    <t>ConflictCostv2</t>
  </si>
  <si>
    <t>Totalerrors_Av5</t>
  </si>
  <si>
    <t>MeanAcc_Av5</t>
  </si>
  <si>
    <t>MeanRT_Av5</t>
  </si>
  <si>
    <t>Cogruentmean_Av5</t>
  </si>
  <si>
    <t>IncongruentMean_Av5</t>
  </si>
  <si>
    <t>ConflictCost_Av5</t>
  </si>
  <si>
    <t>Totalcorrectv2</t>
  </si>
  <si>
    <t>Totalerrors_Bv2</t>
  </si>
  <si>
    <t>MeanAcc_Bv2</t>
  </si>
  <si>
    <t>Meanerror_GNG_v2</t>
  </si>
  <si>
    <t>Totalcorrect_Av5</t>
  </si>
  <si>
    <t>Totalerrors_Cv5</t>
  </si>
  <si>
    <t>MeanAcc_Cv5</t>
  </si>
  <si>
    <t>Meanerror_Av5</t>
  </si>
  <si>
    <t>totalcodedv2</t>
  </si>
  <si>
    <t>@#correctv2</t>
  </si>
  <si>
    <t>@#incorrectv2</t>
  </si>
  <si>
    <t>finalscorev2</t>
  </si>
  <si>
    <t>totalcoded_Av5</t>
  </si>
  <si>
    <t>@#correct_Av5</t>
  </si>
  <si>
    <t>@#incorrect_Av5</t>
  </si>
  <si>
    <t>finalscore_Av5</t>
  </si>
  <si>
    <t>Totalcopiedv2</t>
  </si>
  <si>
    <t>@#correct_Bv2</t>
  </si>
  <si>
    <t>@#incorrect_Bv2</t>
  </si>
  <si>
    <t>finalscore_Bv2</t>
  </si>
  <si>
    <t>Totalcopied_Av5</t>
  </si>
  <si>
    <t>@#correct_Cv5</t>
  </si>
  <si>
    <t>@#incorrect_Cv5</t>
  </si>
  <si>
    <t>finalscore_Cv5</t>
  </si>
  <si>
    <t>Age</t>
  </si>
  <si>
    <t>AvgSBP</t>
  </si>
  <si>
    <t>AvgDBP</t>
  </si>
  <si>
    <t>PulsePressure</t>
  </si>
  <si>
    <t>AvgHR</t>
  </si>
  <si>
    <t>Sex</t>
  </si>
  <si>
    <t>Race</t>
  </si>
  <si>
    <t>HDLmgdL</t>
  </si>
  <si>
    <t>LDLmgdL</t>
  </si>
  <si>
    <t>TotalCholesterol</t>
  </si>
  <si>
    <t>TotalTriglycerides</t>
  </si>
  <si>
    <t>GlucosemgdL</t>
  </si>
  <si>
    <t>Hematocrit</t>
  </si>
  <si>
    <t>Hemoglobin</t>
  </si>
  <si>
    <t>H1ac</t>
  </si>
  <si>
    <t>EGFR</t>
  </si>
  <si>
    <t>Albuminglobulinratio</t>
  </si>
  <si>
    <t>MetSBP10</t>
  </si>
  <si>
    <t>MetSglucose10</t>
  </si>
  <si>
    <t>MetSTGs10</t>
  </si>
  <si>
    <t>MetSWC10</t>
  </si>
  <si>
    <t>MetSHDL10</t>
  </si>
  <si>
    <t>@#ofMetScomponents</t>
  </si>
  <si>
    <t>BDIIIscore</t>
  </si>
  <si>
    <t>MMSEscore</t>
  </si>
  <si>
    <t>EducationLevel</t>
  </si>
  <si>
    <t>F</t>
  </si>
  <si>
    <t>Caucasian</t>
  </si>
  <si>
    <t>M</t>
  </si>
  <si>
    <t>Asian</t>
  </si>
  <si>
    <t>African American</t>
  </si>
  <si>
    <t>Flanker_Totalerrors</t>
  </si>
  <si>
    <t>Flanker_MeanAcc</t>
  </si>
  <si>
    <t>Flanker_meanerror</t>
  </si>
  <si>
    <t>Flanker_Cogruentmean</t>
  </si>
  <si>
    <t>Flanker_IncongruentMean</t>
  </si>
  <si>
    <t>Flanker_ConflictCost</t>
  </si>
  <si>
    <t>GNG_Totalcorrect</t>
  </si>
  <si>
    <t>GNG_Totalerrors_</t>
  </si>
  <si>
    <t>GNG_MeanAcc</t>
  </si>
  <si>
    <t>GNG_Meanerror_GNG</t>
  </si>
  <si>
    <t>SymbolCoding_finalscore</t>
  </si>
  <si>
    <t>SymbolCopy_finalscore</t>
  </si>
  <si>
    <t>Height (m)</t>
  </si>
  <si>
    <t>Weight (kg)</t>
  </si>
  <si>
    <t>BMI (m2/kg)</t>
  </si>
  <si>
    <t>Waistcircumfrence (cm)</t>
  </si>
  <si>
    <t>AvgMAP</t>
  </si>
  <si>
    <t>Change from baseline to post 4-weeks supplementation</t>
  </si>
  <si>
    <t>Congruentmeanv2</t>
  </si>
  <si>
    <t>Flanker Task Baseline</t>
  </si>
  <si>
    <t>Flanker Task Post Supplementation</t>
  </si>
  <si>
    <t>GoNoGo Task Baseline</t>
  </si>
  <si>
    <t>GoNoGo Task Post-Supplementation</t>
  </si>
  <si>
    <t>Symbol Coding Task Baseline</t>
  </si>
  <si>
    <t>Symbol Coding Task EOS</t>
  </si>
  <si>
    <t>Symbol Copy Task Baseline</t>
  </si>
  <si>
    <t>Symbol Copy Task EOS</t>
  </si>
  <si>
    <t>Baseline Demographics</t>
  </si>
  <si>
    <t>Delta Cognition Values, from Baseline to EOS</t>
  </si>
  <si>
    <t>V2 =  baseline; V5 = post 4-weeks supplementation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</si>
</sst>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1"/>
  <sheetViews>
    <sheetView tabSelected="1" workbookViewId="0">
      <selection activeCell="F16" sqref="F16"/>
    </sheetView>
  </sheetViews>
  <sheetFormatPr defaultRowHeight="15" x14ac:dyDescent="0.25"/>
  <cols>
    <col min="3" max="3" width="12.7109375" bestFit="1" customWidth="1"/>
    <col min="4" max="4" width="16.7109375" bestFit="1" customWidth="1"/>
    <col min="5" max="5" width="18.28515625" bestFit="1" customWidth="1"/>
    <col min="6" max="6" width="22.140625" bestFit="1" customWidth="1"/>
    <col min="7" max="7" width="24.7109375" bestFit="1" customWidth="1"/>
    <col min="8" max="8" width="19.5703125" bestFit="1" customWidth="1"/>
    <col min="9" max="9" width="15.140625" bestFit="1" customWidth="1"/>
    <col min="10" max="10" width="13.42578125" bestFit="1" customWidth="1"/>
    <col min="11" max="11" width="12.42578125" bestFit="1" customWidth="1"/>
    <col min="12" max="12" width="18.7109375" bestFit="1" customWidth="1"/>
    <col min="13" max="13" width="21.42578125" bestFit="1" customWidth="1"/>
    <col min="14" max="14" width="16.140625" bestFit="1" customWidth="1"/>
    <col min="18" max="18" width="18.7109375" bestFit="1" customWidth="1"/>
    <col min="22" max="22" width="14.85546875" bestFit="1" customWidth="1"/>
    <col min="42" max="42" width="18.85546875" style="2" bestFit="1" customWidth="1"/>
    <col min="43" max="43" width="22.42578125" bestFit="1" customWidth="1"/>
    <col min="46" max="46" width="18.85546875" style="2" bestFit="1" customWidth="1"/>
  </cols>
  <sheetData>
    <row r="1" spans="1:69" x14ac:dyDescent="0.25">
      <c r="A1" s="11" t="s">
        <v>97</v>
      </c>
    </row>
    <row r="2" spans="1:69" x14ac:dyDescent="0.25">
      <c r="C2" s="12" t="s">
        <v>87</v>
      </c>
      <c r="D2" s="12"/>
      <c r="E2" s="12"/>
      <c r="F2" s="12"/>
      <c r="G2" s="12"/>
      <c r="H2" s="12"/>
      <c r="I2" s="16" t="s">
        <v>88</v>
      </c>
      <c r="J2" s="15"/>
      <c r="K2" s="15"/>
      <c r="L2" s="15"/>
      <c r="M2" s="15"/>
      <c r="N2" s="15"/>
      <c r="O2" s="12" t="s">
        <v>89</v>
      </c>
      <c r="P2" s="12"/>
      <c r="Q2" s="12"/>
      <c r="R2" s="12"/>
      <c r="S2" s="16" t="s">
        <v>90</v>
      </c>
      <c r="T2" s="16"/>
      <c r="U2" s="16"/>
      <c r="V2" s="16"/>
      <c r="W2" s="13" t="s">
        <v>91</v>
      </c>
      <c r="X2" s="13"/>
      <c r="Y2" s="13"/>
      <c r="Z2" s="13"/>
      <c r="AA2" s="15" t="s">
        <v>92</v>
      </c>
      <c r="AB2" s="15"/>
      <c r="AC2" s="15"/>
      <c r="AD2" s="15"/>
      <c r="AE2" s="13" t="s">
        <v>93</v>
      </c>
      <c r="AF2" s="13"/>
      <c r="AG2" s="13"/>
      <c r="AH2" s="13"/>
      <c r="AI2" s="15" t="s">
        <v>94</v>
      </c>
      <c r="AJ2" s="15"/>
      <c r="AK2" s="15"/>
      <c r="AL2" s="15"/>
      <c r="AM2" s="17" t="s">
        <v>95</v>
      </c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</row>
    <row r="3" spans="1:6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86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80</v>
      </c>
      <c r="AO3" t="s">
        <v>81</v>
      </c>
      <c r="AP3" s="2" t="s">
        <v>82</v>
      </c>
      <c r="AQ3" t="s">
        <v>83</v>
      </c>
      <c r="AR3" t="s">
        <v>38</v>
      </c>
      <c r="AS3" t="s">
        <v>39</v>
      </c>
      <c r="AT3" s="2" t="s">
        <v>84</v>
      </c>
      <c r="AU3" t="s">
        <v>40</v>
      </c>
      <c r="AV3" t="s">
        <v>41</v>
      </c>
      <c r="AW3" t="s">
        <v>42</v>
      </c>
      <c r="AX3" t="s">
        <v>43</v>
      </c>
      <c r="AY3" t="s">
        <v>44</v>
      </c>
      <c r="AZ3" t="s">
        <v>45</v>
      </c>
      <c r="BA3" t="s">
        <v>46</v>
      </c>
      <c r="BB3" t="s">
        <v>47</v>
      </c>
      <c r="BC3" t="s">
        <v>48</v>
      </c>
      <c r="BD3" t="s">
        <v>49</v>
      </c>
      <c r="BE3" t="s">
        <v>50</v>
      </c>
      <c r="BF3" t="s">
        <v>51</v>
      </c>
      <c r="BG3" t="s">
        <v>52</v>
      </c>
      <c r="BH3" t="s">
        <v>53</v>
      </c>
      <c r="BI3" t="s">
        <v>54</v>
      </c>
      <c r="BJ3" t="s">
        <v>55</v>
      </c>
      <c r="BK3" t="s">
        <v>56</v>
      </c>
      <c r="BL3" t="s">
        <v>57</v>
      </c>
      <c r="BM3" t="s">
        <v>58</v>
      </c>
      <c r="BN3" t="s">
        <v>59</v>
      </c>
      <c r="BO3" t="s">
        <v>60</v>
      </c>
      <c r="BP3" t="s">
        <v>61</v>
      </c>
      <c r="BQ3" t="s">
        <v>62</v>
      </c>
    </row>
    <row r="4" spans="1:69" x14ac:dyDescent="0.25">
      <c r="A4" s="2">
        <v>12625</v>
      </c>
      <c r="B4" s="9">
        <v>2</v>
      </c>
      <c r="C4" s="9">
        <v>2</v>
      </c>
      <c r="D4" s="6">
        <v>0.97499999999999998</v>
      </c>
      <c r="E4" s="4">
        <v>586.01300000000003</v>
      </c>
      <c r="F4" s="4">
        <v>565.29999999999995</v>
      </c>
      <c r="G4" s="4">
        <v>621.6</v>
      </c>
      <c r="H4" s="5">
        <v>56.3</v>
      </c>
      <c r="I4" s="9">
        <v>2</v>
      </c>
      <c r="J4" s="7">
        <v>0.97916700000000001</v>
      </c>
      <c r="K4" s="4">
        <v>592.57299999999998</v>
      </c>
      <c r="L4" s="4">
        <v>561.70799999999997</v>
      </c>
      <c r="M4" s="4">
        <v>651.29200000000003</v>
      </c>
      <c r="N4" s="6">
        <v>89.583299999999994</v>
      </c>
      <c r="O4" s="9">
        <v>223</v>
      </c>
      <c r="P4" s="9">
        <v>17</v>
      </c>
      <c r="Q4" s="7">
        <v>0.92900000000000005</v>
      </c>
      <c r="R4" s="8">
        <v>7.0832999999999993E-2</v>
      </c>
      <c r="S4" s="9">
        <v>222</v>
      </c>
      <c r="T4" s="9">
        <v>18</v>
      </c>
      <c r="U4" s="7">
        <v>0.92500000000000004</v>
      </c>
      <c r="V4" s="8">
        <v>7.4999999999999997E-2</v>
      </c>
      <c r="W4" s="9">
        <v>22</v>
      </c>
      <c r="X4" s="9">
        <v>22</v>
      </c>
      <c r="Y4" s="9">
        <v>0</v>
      </c>
      <c r="Z4" s="9">
        <v>22</v>
      </c>
      <c r="AA4" s="9">
        <v>26</v>
      </c>
      <c r="AB4" s="9">
        <v>25</v>
      </c>
      <c r="AC4" s="9">
        <v>1</v>
      </c>
      <c r="AD4" s="9">
        <v>25</v>
      </c>
      <c r="AE4" s="9">
        <v>48</v>
      </c>
      <c r="AF4" s="9">
        <v>48</v>
      </c>
      <c r="AG4" s="9">
        <v>0</v>
      </c>
      <c r="AH4" s="9">
        <v>48</v>
      </c>
      <c r="AI4" s="9">
        <v>46</v>
      </c>
      <c r="AJ4" s="9">
        <v>46</v>
      </c>
      <c r="AK4" s="9">
        <v>0</v>
      </c>
      <c r="AL4" s="9">
        <v>46</v>
      </c>
      <c r="AM4" s="9">
        <v>75</v>
      </c>
      <c r="AN4" s="4">
        <v>1.7</v>
      </c>
      <c r="AO4" s="3">
        <v>91.6</v>
      </c>
      <c r="AP4" s="2">
        <v>31.69</v>
      </c>
      <c r="AQ4" s="2">
        <v>113.5</v>
      </c>
      <c r="AR4" s="9">
        <v>101</v>
      </c>
      <c r="AS4" s="9">
        <v>55</v>
      </c>
      <c r="AT4" s="2">
        <v>70.180000000000007</v>
      </c>
      <c r="AU4" s="9">
        <v>46</v>
      </c>
      <c r="AV4" s="9">
        <v>66</v>
      </c>
      <c r="AW4" t="s">
        <v>63</v>
      </c>
      <c r="AX4" t="s">
        <v>64</v>
      </c>
      <c r="AY4" s="9">
        <v>49</v>
      </c>
      <c r="AZ4" s="9">
        <v>146</v>
      </c>
      <c r="BA4" s="9">
        <v>217</v>
      </c>
      <c r="BB4" s="9">
        <v>108</v>
      </c>
      <c r="BC4" s="9">
        <v>95</v>
      </c>
      <c r="BD4" s="3">
        <v>41.7</v>
      </c>
      <c r="BE4" s="3">
        <v>15.7</v>
      </c>
      <c r="BF4" s="3">
        <v>4.9000000000000004</v>
      </c>
      <c r="BG4" s="9">
        <v>97</v>
      </c>
      <c r="BH4" s="3">
        <v>1.8</v>
      </c>
      <c r="BI4" s="9">
        <v>0</v>
      </c>
      <c r="BJ4" s="9">
        <v>1</v>
      </c>
      <c r="BK4" s="9">
        <v>0</v>
      </c>
      <c r="BL4" s="9">
        <v>1</v>
      </c>
      <c r="BM4" s="9">
        <v>1</v>
      </c>
      <c r="BN4" s="9">
        <v>3</v>
      </c>
      <c r="BO4" s="9">
        <v>1</v>
      </c>
      <c r="BP4" s="9">
        <v>30</v>
      </c>
      <c r="BQ4" s="9">
        <v>9</v>
      </c>
    </row>
    <row r="5" spans="1:69" x14ac:dyDescent="0.25">
      <c r="A5" s="2">
        <v>15072</v>
      </c>
      <c r="B5" s="9">
        <v>1</v>
      </c>
      <c r="C5" s="9">
        <v>21</v>
      </c>
      <c r="D5" s="6">
        <v>0.86875000000000002</v>
      </c>
      <c r="E5" s="4">
        <v>534.36199999999997</v>
      </c>
      <c r="F5" s="4">
        <v>537.45000000000005</v>
      </c>
      <c r="G5" s="4">
        <v>572.57500000000005</v>
      </c>
      <c r="H5" s="5">
        <v>35.125</v>
      </c>
      <c r="I5" s="9">
        <v>18</v>
      </c>
      <c r="J5" s="7">
        <v>0.88749999999999996</v>
      </c>
      <c r="K5" s="4">
        <v>524.53099999999995</v>
      </c>
      <c r="L5" s="4">
        <v>511.82499999999999</v>
      </c>
      <c r="M5" s="4">
        <v>560.29999999999995</v>
      </c>
      <c r="N5" s="6">
        <v>48.475000000000001</v>
      </c>
      <c r="O5" s="9">
        <v>211</v>
      </c>
      <c r="P5" s="9">
        <v>29</v>
      </c>
      <c r="Q5" s="7">
        <v>0.87916700000000003</v>
      </c>
      <c r="R5" s="8">
        <v>0.120833</v>
      </c>
      <c r="S5" s="9">
        <v>214</v>
      </c>
      <c r="T5" s="9">
        <v>26</v>
      </c>
      <c r="U5" s="7">
        <v>0.89166699999999999</v>
      </c>
      <c r="V5" s="8">
        <v>0.108333</v>
      </c>
      <c r="W5" s="9">
        <v>29</v>
      </c>
      <c r="X5" s="9">
        <v>29</v>
      </c>
      <c r="Y5" s="9">
        <v>0</v>
      </c>
      <c r="Z5" s="9">
        <v>29</v>
      </c>
      <c r="AA5" s="9">
        <v>30</v>
      </c>
      <c r="AB5" s="9">
        <v>29</v>
      </c>
      <c r="AC5" s="9">
        <v>1</v>
      </c>
      <c r="AD5" s="9">
        <v>29</v>
      </c>
      <c r="AE5" s="9">
        <v>68</v>
      </c>
      <c r="AF5" s="9">
        <v>68</v>
      </c>
      <c r="AG5" s="9">
        <v>0</v>
      </c>
      <c r="AH5" s="9">
        <v>68</v>
      </c>
      <c r="AI5" s="9">
        <v>67</v>
      </c>
      <c r="AJ5" s="9">
        <v>67</v>
      </c>
      <c r="AK5" s="9">
        <v>0</v>
      </c>
      <c r="AL5" s="9">
        <v>67</v>
      </c>
      <c r="AM5" s="9">
        <v>68</v>
      </c>
      <c r="AN5" s="4">
        <v>1.88</v>
      </c>
      <c r="AO5" s="3">
        <v>115.5</v>
      </c>
      <c r="AP5" s="2">
        <v>32.678813942960616</v>
      </c>
      <c r="AQ5" s="2">
        <v>125</v>
      </c>
      <c r="AR5" s="9">
        <v>129</v>
      </c>
      <c r="AS5" s="9">
        <v>64</v>
      </c>
      <c r="AT5" s="2">
        <v>85.45</v>
      </c>
      <c r="AU5" s="9">
        <v>65</v>
      </c>
      <c r="AV5" s="9">
        <v>53</v>
      </c>
      <c r="AW5" t="s">
        <v>65</v>
      </c>
      <c r="AX5" t="s">
        <v>64</v>
      </c>
      <c r="AY5" s="9">
        <v>43</v>
      </c>
      <c r="AZ5" s="9">
        <v>76</v>
      </c>
      <c r="BA5" s="9">
        <v>148</v>
      </c>
      <c r="BB5" s="9">
        <v>192</v>
      </c>
      <c r="BC5" s="9">
        <v>92</v>
      </c>
      <c r="BD5" s="3">
        <v>43.6</v>
      </c>
      <c r="BE5" s="3">
        <v>15.6</v>
      </c>
      <c r="BF5" s="3">
        <v>4.7</v>
      </c>
      <c r="BG5" s="9">
        <v>92</v>
      </c>
      <c r="BH5" s="3">
        <v>1.8</v>
      </c>
      <c r="BI5" s="9">
        <v>0</v>
      </c>
      <c r="BJ5" s="9">
        <v>0</v>
      </c>
      <c r="BK5" s="9">
        <v>1</v>
      </c>
      <c r="BL5" s="9">
        <v>1</v>
      </c>
      <c r="BM5" s="9">
        <v>1</v>
      </c>
      <c r="BN5" s="9">
        <v>3</v>
      </c>
      <c r="BO5" s="9">
        <v>2</v>
      </c>
      <c r="BP5" s="9">
        <v>30</v>
      </c>
      <c r="BQ5" s="9">
        <v>9</v>
      </c>
    </row>
    <row r="6" spans="1:69" x14ac:dyDescent="0.25">
      <c r="A6" s="2">
        <v>16418</v>
      </c>
      <c r="B6" s="9">
        <v>1</v>
      </c>
      <c r="C6" s="9">
        <v>8</v>
      </c>
      <c r="D6" s="6">
        <v>0.95</v>
      </c>
      <c r="E6" s="4">
        <v>515.58799999999997</v>
      </c>
      <c r="F6" s="4">
        <v>484.57499999999999</v>
      </c>
      <c r="G6" s="4">
        <v>556.75</v>
      </c>
      <c r="H6" s="5">
        <v>72.174999999999997</v>
      </c>
      <c r="I6" s="9">
        <v>3</v>
      </c>
      <c r="J6" s="7">
        <v>0.98124999999999996</v>
      </c>
      <c r="K6" s="4">
        <v>519.9</v>
      </c>
      <c r="L6" s="4">
        <v>493.77499999999998</v>
      </c>
      <c r="M6" s="4">
        <v>559.35</v>
      </c>
      <c r="N6" s="6">
        <v>65.575000000000003</v>
      </c>
      <c r="O6" s="9">
        <v>208</v>
      </c>
      <c r="P6" s="9">
        <v>32</v>
      </c>
      <c r="Q6" s="7">
        <v>0.86666699999999997</v>
      </c>
      <c r="R6" s="8">
        <v>0.13333300000000001</v>
      </c>
      <c r="S6" s="9">
        <v>231</v>
      </c>
      <c r="T6" s="9">
        <v>9</v>
      </c>
      <c r="U6" s="7">
        <v>0.96250000000000002</v>
      </c>
      <c r="V6" s="8">
        <v>3.7499999999999999E-2</v>
      </c>
      <c r="W6" s="9">
        <v>48</v>
      </c>
      <c r="X6" s="9">
        <v>48</v>
      </c>
      <c r="Y6" s="9">
        <v>0</v>
      </c>
      <c r="Z6" s="9">
        <v>48</v>
      </c>
      <c r="AA6" s="9">
        <v>38</v>
      </c>
      <c r="AB6" s="9">
        <v>36</v>
      </c>
      <c r="AC6" s="9">
        <v>2</v>
      </c>
      <c r="AD6" s="9">
        <v>36</v>
      </c>
      <c r="AE6" s="9">
        <v>103</v>
      </c>
      <c r="AF6" s="9">
        <v>103</v>
      </c>
      <c r="AG6" s="9">
        <v>0</v>
      </c>
      <c r="AH6" s="9">
        <v>103</v>
      </c>
      <c r="AI6" s="9">
        <v>92</v>
      </c>
      <c r="AJ6" s="9">
        <v>92</v>
      </c>
      <c r="AK6" s="9">
        <v>0</v>
      </c>
      <c r="AL6" s="9">
        <v>92</v>
      </c>
      <c r="AM6" s="9">
        <v>55</v>
      </c>
      <c r="AN6" s="4">
        <v>1.66</v>
      </c>
      <c r="AO6" s="3">
        <v>95.6</v>
      </c>
      <c r="AP6" s="2">
        <v>34.692988822760924</v>
      </c>
      <c r="AQ6" s="2">
        <v>107</v>
      </c>
      <c r="AR6" s="9">
        <v>113</v>
      </c>
      <c r="AS6" s="9">
        <v>59</v>
      </c>
      <c r="AT6" s="2">
        <v>76.819999999999993</v>
      </c>
      <c r="AU6" s="9">
        <v>54</v>
      </c>
      <c r="AV6" s="9">
        <v>62</v>
      </c>
      <c r="AW6" t="s">
        <v>63</v>
      </c>
      <c r="AX6" t="s">
        <v>64</v>
      </c>
      <c r="AY6" s="9">
        <v>46</v>
      </c>
      <c r="AZ6" s="9">
        <v>126</v>
      </c>
      <c r="BA6" s="9">
        <v>204</v>
      </c>
      <c r="BB6" s="9">
        <v>199</v>
      </c>
      <c r="BC6" s="9">
        <v>117</v>
      </c>
      <c r="BD6" s="3">
        <v>40.4</v>
      </c>
      <c r="BE6" s="3">
        <v>13.9</v>
      </c>
      <c r="BF6" s="3">
        <v>5.5</v>
      </c>
      <c r="BG6" s="9">
        <v>87</v>
      </c>
      <c r="BH6" s="3">
        <v>1.8</v>
      </c>
      <c r="BI6" s="9">
        <v>0</v>
      </c>
      <c r="BJ6" s="9">
        <v>1</v>
      </c>
      <c r="BK6" s="9">
        <v>1</v>
      </c>
      <c r="BL6" s="9">
        <v>1</v>
      </c>
      <c r="BM6" s="9">
        <v>0</v>
      </c>
      <c r="BN6" s="9">
        <v>3</v>
      </c>
      <c r="BO6" s="9">
        <v>8</v>
      </c>
      <c r="BP6" s="9">
        <v>30</v>
      </c>
      <c r="BQ6" s="9">
        <v>7</v>
      </c>
    </row>
    <row r="7" spans="1:69" x14ac:dyDescent="0.25">
      <c r="A7" s="2">
        <v>21605</v>
      </c>
      <c r="B7" s="9">
        <v>1</v>
      </c>
      <c r="C7" s="9">
        <v>2</v>
      </c>
      <c r="D7" s="6">
        <v>0.98750000000000004</v>
      </c>
      <c r="E7" s="4">
        <v>517.20600000000002</v>
      </c>
      <c r="F7" s="4">
        <v>502.52499999999998</v>
      </c>
      <c r="G7" s="4">
        <v>562.45000000000005</v>
      </c>
      <c r="H7" s="5">
        <v>59.924999999999997</v>
      </c>
      <c r="I7" s="9">
        <v>0</v>
      </c>
      <c r="J7" s="7">
        <v>1</v>
      </c>
      <c r="K7" s="4">
        <v>512.80200000000002</v>
      </c>
      <c r="L7" s="4">
        <v>507.375</v>
      </c>
      <c r="M7" s="4">
        <v>543.83299999999997</v>
      </c>
      <c r="N7" s="6">
        <v>36.458300000000001</v>
      </c>
      <c r="O7" s="9">
        <v>228</v>
      </c>
      <c r="P7" s="9">
        <v>12</v>
      </c>
      <c r="Q7" s="7">
        <v>0.95</v>
      </c>
      <c r="R7" s="8">
        <v>0.05</v>
      </c>
      <c r="S7" s="9">
        <v>234</v>
      </c>
      <c r="T7" s="9">
        <v>6</v>
      </c>
      <c r="U7" s="7">
        <v>0.97499999999999998</v>
      </c>
      <c r="V7" s="8">
        <v>2.5000000000000001E-2</v>
      </c>
      <c r="W7" s="9">
        <v>31</v>
      </c>
      <c r="X7" s="9">
        <v>31</v>
      </c>
      <c r="Y7" s="9">
        <v>0</v>
      </c>
      <c r="Z7" s="9">
        <v>31</v>
      </c>
      <c r="AA7" s="9">
        <v>37</v>
      </c>
      <c r="AB7" s="9">
        <v>37</v>
      </c>
      <c r="AC7" s="9">
        <v>0</v>
      </c>
      <c r="AD7" s="9">
        <v>37</v>
      </c>
      <c r="AE7" s="9">
        <v>71</v>
      </c>
      <c r="AF7" s="9">
        <v>71</v>
      </c>
      <c r="AG7" s="9">
        <v>0</v>
      </c>
      <c r="AH7" s="9">
        <v>71</v>
      </c>
      <c r="AI7" s="9">
        <v>67</v>
      </c>
      <c r="AJ7" s="9">
        <v>66</v>
      </c>
      <c r="AK7" s="9">
        <v>1</v>
      </c>
      <c r="AL7" s="9">
        <v>66</v>
      </c>
      <c r="AM7" s="9">
        <v>63</v>
      </c>
      <c r="AN7" s="4">
        <v>1.625</v>
      </c>
      <c r="AO7" s="3">
        <v>76.8</v>
      </c>
      <c r="AP7" s="2">
        <v>29.084023668639052</v>
      </c>
      <c r="AQ7" s="2">
        <v>99</v>
      </c>
      <c r="AR7" s="9">
        <v>122</v>
      </c>
      <c r="AS7" s="9">
        <v>66</v>
      </c>
      <c r="AT7" s="2">
        <v>84.48</v>
      </c>
      <c r="AU7" s="9">
        <v>56</v>
      </c>
      <c r="AV7" s="9">
        <v>70</v>
      </c>
      <c r="AW7" t="s">
        <v>63</v>
      </c>
      <c r="AX7" t="s">
        <v>66</v>
      </c>
      <c r="AY7" s="9">
        <v>45</v>
      </c>
      <c r="AZ7" s="9">
        <v>153</v>
      </c>
      <c r="BA7" s="9">
        <v>245</v>
      </c>
      <c r="BB7" s="9">
        <v>288</v>
      </c>
      <c r="BC7" s="9">
        <v>94</v>
      </c>
      <c r="BD7" s="3">
        <v>43.4</v>
      </c>
      <c r="BE7" s="3">
        <v>14.8</v>
      </c>
      <c r="BF7" s="3">
        <v>5.3</v>
      </c>
      <c r="BG7" s="9">
        <v>99</v>
      </c>
      <c r="BH7" s="3">
        <v>1.8</v>
      </c>
      <c r="BI7" s="9">
        <v>0</v>
      </c>
      <c r="BJ7" s="9">
        <v>0</v>
      </c>
      <c r="BK7" s="9">
        <v>1</v>
      </c>
      <c r="BL7" s="9">
        <v>1</v>
      </c>
      <c r="BM7" s="9">
        <v>1</v>
      </c>
      <c r="BN7" s="9">
        <v>3</v>
      </c>
      <c r="BO7" s="9">
        <v>4</v>
      </c>
      <c r="BP7" s="9">
        <v>29</v>
      </c>
      <c r="BQ7" s="9">
        <v>11</v>
      </c>
    </row>
    <row r="8" spans="1:69" x14ac:dyDescent="0.25">
      <c r="A8" s="2">
        <v>22060</v>
      </c>
      <c r="B8" s="9">
        <v>2</v>
      </c>
      <c r="C8" s="9">
        <v>16</v>
      </c>
      <c r="D8" s="6">
        <v>0.9</v>
      </c>
      <c r="E8" s="4">
        <v>457</v>
      </c>
      <c r="F8" s="4">
        <v>448.15</v>
      </c>
      <c r="G8" s="4">
        <v>497.875</v>
      </c>
      <c r="H8" s="5">
        <v>49.725000000000001</v>
      </c>
      <c r="I8" s="9">
        <v>20</v>
      </c>
      <c r="J8" s="7">
        <v>0.79166700000000001</v>
      </c>
      <c r="K8" s="4">
        <v>365.42700000000002</v>
      </c>
      <c r="L8" s="4">
        <v>365.79199999999997</v>
      </c>
      <c r="M8" s="4">
        <v>361.33300000000003</v>
      </c>
      <c r="N8" s="6">
        <v>-4.4583300000000001</v>
      </c>
      <c r="O8" s="9">
        <v>206</v>
      </c>
      <c r="P8" s="9">
        <v>34</v>
      </c>
      <c r="Q8" s="7">
        <v>0.85799999999999998</v>
      </c>
      <c r="R8" s="8">
        <v>0.14199999999999999</v>
      </c>
      <c r="S8" s="9">
        <v>196</v>
      </c>
      <c r="T8" s="9">
        <v>44</v>
      </c>
      <c r="U8" s="7">
        <v>0.81666700000000003</v>
      </c>
      <c r="V8" s="8">
        <v>0.183333</v>
      </c>
      <c r="W8" s="9">
        <v>33</v>
      </c>
      <c r="X8" s="9">
        <v>33</v>
      </c>
      <c r="Y8" s="9">
        <v>1</v>
      </c>
      <c r="Z8" s="9">
        <v>32</v>
      </c>
      <c r="AA8" s="9">
        <v>34</v>
      </c>
      <c r="AB8" s="9">
        <v>32</v>
      </c>
      <c r="AC8" s="9">
        <v>2</v>
      </c>
      <c r="AD8" s="9">
        <v>32</v>
      </c>
      <c r="AE8" s="9">
        <v>103</v>
      </c>
      <c r="AF8" s="9">
        <v>103</v>
      </c>
      <c r="AG8" s="9">
        <v>0</v>
      </c>
      <c r="AH8" s="9">
        <v>103</v>
      </c>
      <c r="AI8" s="9">
        <v>106</v>
      </c>
      <c r="AJ8" s="9">
        <v>104</v>
      </c>
      <c r="AK8" s="9">
        <v>2</v>
      </c>
      <c r="AL8" s="9">
        <v>104</v>
      </c>
      <c r="AM8" s="9">
        <v>66</v>
      </c>
      <c r="AN8" s="4">
        <v>1.66</v>
      </c>
      <c r="AO8" s="3">
        <v>93.4</v>
      </c>
      <c r="AP8" s="2">
        <v>33.894614602990281</v>
      </c>
      <c r="AQ8" s="2">
        <v>120</v>
      </c>
      <c r="AR8" s="9">
        <v>124</v>
      </c>
      <c r="AS8" s="9">
        <v>71</v>
      </c>
      <c r="AT8" s="2">
        <v>88.490000000000009</v>
      </c>
      <c r="AU8" s="9">
        <v>53</v>
      </c>
      <c r="AV8" s="9">
        <v>65</v>
      </c>
      <c r="AW8" t="s">
        <v>65</v>
      </c>
      <c r="AX8" t="s">
        <v>64</v>
      </c>
      <c r="AY8" s="9">
        <v>51</v>
      </c>
      <c r="AZ8" s="9">
        <v>129</v>
      </c>
      <c r="BA8" s="9">
        <v>210</v>
      </c>
      <c r="BB8" s="9">
        <v>188</v>
      </c>
      <c r="BC8" s="9">
        <v>149</v>
      </c>
      <c r="BD8" s="3">
        <v>45</v>
      </c>
      <c r="BE8" s="3">
        <v>15.2</v>
      </c>
      <c r="BF8" s="1"/>
      <c r="BG8" s="9">
        <v>97</v>
      </c>
      <c r="BH8" s="3">
        <v>2</v>
      </c>
      <c r="BI8" s="9">
        <v>0</v>
      </c>
      <c r="BJ8" s="9">
        <v>1</v>
      </c>
      <c r="BK8" s="9">
        <v>1</v>
      </c>
      <c r="BL8" s="9">
        <v>1</v>
      </c>
      <c r="BM8" s="9">
        <v>0</v>
      </c>
      <c r="BN8" s="9">
        <v>3</v>
      </c>
      <c r="BO8" s="9">
        <v>0</v>
      </c>
      <c r="BP8" s="9">
        <v>29</v>
      </c>
      <c r="BQ8" s="9">
        <v>9</v>
      </c>
    </row>
    <row r="9" spans="1:69" x14ac:dyDescent="0.25">
      <c r="A9" s="2">
        <v>24465</v>
      </c>
      <c r="B9" s="9">
        <v>1</v>
      </c>
      <c r="C9" s="9">
        <v>0</v>
      </c>
      <c r="D9" s="6">
        <v>1</v>
      </c>
      <c r="E9" s="4">
        <v>617.72900000000004</v>
      </c>
      <c r="F9" s="4">
        <v>587.125</v>
      </c>
      <c r="G9" s="4">
        <v>702.91700000000003</v>
      </c>
      <c r="H9" s="5">
        <v>115.792</v>
      </c>
      <c r="I9" s="9">
        <v>2</v>
      </c>
      <c r="J9" s="7">
        <v>0.98750000000000004</v>
      </c>
      <c r="K9" s="4">
        <v>551.35</v>
      </c>
      <c r="L9" s="4">
        <v>526.1</v>
      </c>
      <c r="M9" s="4">
        <v>618.6</v>
      </c>
      <c r="N9" s="6">
        <v>92.5</v>
      </c>
      <c r="O9" s="9">
        <v>233</v>
      </c>
      <c r="P9" s="9">
        <v>7</v>
      </c>
      <c r="Q9" s="7">
        <v>0.97083299999999995</v>
      </c>
      <c r="R9" s="8">
        <v>2.91667E-2</v>
      </c>
      <c r="S9" s="9">
        <v>240</v>
      </c>
      <c r="T9" s="9">
        <v>0</v>
      </c>
      <c r="U9" s="7">
        <v>1</v>
      </c>
      <c r="V9" s="8">
        <v>0</v>
      </c>
      <c r="W9" s="9">
        <v>34</v>
      </c>
      <c r="X9" s="9">
        <v>34</v>
      </c>
      <c r="Y9" s="9">
        <v>0</v>
      </c>
      <c r="Z9" s="9">
        <v>34</v>
      </c>
      <c r="AA9" s="9">
        <v>38</v>
      </c>
      <c r="AB9" s="9">
        <v>37</v>
      </c>
      <c r="AC9" s="9">
        <v>1</v>
      </c>
      <c r="AD9" s="9">
        <v>37</v>
      </c>
      <c r="AE9" s="9">
        <v>64</v>
      </c>
      <c r="AF9" s="9">
        <v>64</v>
      </c>
      <c r="AG9" s="9">
        <v>0</v>
      </c>
      <c r="AH9" s="9">
        <v>64</v>
      </c>
      <c r="AI9" s="9">
        <v>67</v>
      </c>
      <c r="AJ9" s="9">
        <v>67</v>
      </c>
      <c r="AK9" s="9">
        <v>0</v>
      </c>
      <c r="AL9" s="9">
        <v>67</v>
      </c>
      <c r="AM9" s="9">
        <v>65</v>
      </c>
      <c r="AN9" s="4">
        <v>1.78</v>
      </c>
      <c r="AO9" s="3">
        <v>122.5</v>
      </c>
      <c r="AP9" s="2">
        <v>38.663047595000627</v>
      </c>
      <c r="AQ9" s="2">
        <v>123</v>
      </c>
      <c r="AR9" s="9">
        <v>126</v>
      </c>
      <c r="AS9" s="9">
        <v>72</v>
      </c>
      <c r="AT9" s="2">
        <v>89.82</v>
      </c>
      <c r="AU9" s="9">
        <v>54</v>
      </c>
      <c r="AV9" s="9">
        <v>79</v>
      </c>
      <c r="AW9" t="s">
        <v>65</v>
      </c>
      <c r="AX9" t="s">
        <v>64</v>
      </c>
      <c r="AY9" s="9">
        <v>54</v>
      </c>
      <c r="AZ9" s="9">
        <v>185</v>
      </c>
      <c r="BA9" s="9">
        <v>255</v>
      </c>
      <c r="BB9" s="9">
        <v>63</v>
      </c>
      <c r="BC9" s="9">
        <v>99</v>
      </c>
      <c r="BD9" s="3">
        <v>45.5</v>
      </c>
      <c r="BE9" s="3">
        <v>16</v>
      </c>
      <c r="BF9" s="3">
        <v>5.3</v>
      </c>
      <c r="BG9" s="9">
        <v>94</v>
      </c>
      <c r="BH9" s="3">
        <v>1.5</v>
      </c>
      <c r="BI9" s="9">
        <v>0</v>
      </c>
      <c r="BJ9" s="9">
        <v>1</v>
      </c>
      <c r="BK9" s="9">
        <v>0</v>
      </c>
      <c r="BL9" s="9">
        <v>1</v>
      </c>
      <c r="BM9" s="9">
        <v>0</v>
      </c>
      <c r="BN9" s="9">
        <v>2</v>
      </c>
      <c r="BO9" s="9">
        <v>0</v>
      </c>
      <c r="BP9" s="9">
        <v>30</v>
      </c>
      <c r="BQ9" s="9">
        <v>10</v>
      </c>
    </row>
    <row r="10" spans="1:69" x14ac:dyDescent="0.25">
      <c r="A10" s="2">
        <v>24687</v>
      </c>
      <c r="B10" s="9">
        <v>2</v>
      </c>
      <c r="C10" s="9">
        <v>4</v>
      </c>
      <c r="D10" s="6">
        <v>0.97499999999999998</v>
      </c>
      <c r="E10" s="4">
        <v>530.86199999999997</v>
      </c>
      <c r="F10" s="4">
        <v>523.70000000000005</v>
      </c>
      <c r="G10" s="4">
        <v>575.52499999999998</v>
      </c>
      <c r="H10" s="5">
        <v>51.825000000000003</v>
      </c>
      <c r="I10" s="9">
        <v>1</v>
      </c>
      <c r="J10" s="7">
        <v>0.99375000000000002</v>
      </c>
      <c r="K10" s="4">
        <v>501.86900000000003</v>
      </c>
      <c r="L10" s="4">
        <v>483.47500000000002</v>
      </c>
      <c r="M10" s="4">
        <v>547.97500000000002</v>
      </c>
      <c r="N10" s="6">
        <v>64.5</v>
      </c>
      <c r="O10" s="9">
        <v>218</v>
      </c>
      <c r="P10" s="9">
        <v>22</v>
      </c>
      <c r="Q10" s="7">
        <v>0.90833299999999995</v>
      </c>
      <c r="R10" s="8">
        <v>9.1666700000000004E-2</v>
      </c>
      <c r="S10" s="9">
        <v>230</v>
      </c>
      <c r="T10" s="9">
        <v>10</v>
      </c>
      <c r="U10" s="7">
        <v>0.95833299999999999</v>
      </c>
      <c r="V10" s="8">
        <v>4.1666700000000001E-2</v>
      </c>
      <c r="W10" s="9">
        <v>34</v>
      </c>
      <c r="X10" s="9">
        <v>34</v>
      </c>
      <c r="Y10" s="9">
        <v>0</v>
      </c>
      <c r="Z10" s="9">
        <v>34</v>
      </c>
      <c r="AA10" s="9">
        <v>34</v>
      </c>
      <c r="AB10" s="9">
        <v>34</v>
      </c>
      <c r="AC10" s="9">
        <v>0</v>
      </c>
      <c r="AD10" s="9">
        <v>34</v>
      </c>
      <c r="AE10" s="9">
        <v>57</v>
      </c>
      <c r="AF10" s="9">
        <v>57</v>
      </c>
      <c r="AG10" s="9">
        <v>0</v>
      </c>
      <c r="AH10" s="9">
        <v>57</v>
      </c>
      <c r="AI10" s="9">
        <v>54</v>
      </c>
      <c r="AJ10" s="9">
        <v>54</v>
      </c>
      <c r="AK10" s="9">
        <v>0</v>
      </c>
      <c r="AL10" s="9">
        <v>54</v>
      </c>
      <c r="AM10" s="9">
        <v>59</v>
      </c>
      <c r="AN10" s="4">
        <v>1.84</v>
      </c>
      <c r="AO10" s="3">
        <v>99.6</v>
      </c>
      <c r="AP10" s="2">
        <v>29.418714555765593</v>
      </c>
      <c r="AQ10" s="2">
        <v>104.25</v>
      </c>
      <c r="AR10" s="9">
        <v>130</v>
      </c>
      <c r="AS10" s="9">
        <v>80</v>
      </c>
      <c r="AT10" s="2">
        <v>96.5</v>
      </c>
      <c r="AU10" s="9">
        <v>50</v>
      </c>
      <c r="AV10" s="9">
        <v>62</v>
      </c>
      <c r="AW10" t="s">
        <v>65</v>
      </c>
      <c r="AX10" t="s">
        <v>64</v>
      </c>
      <c r="AY10" s="9">
        <v>75</v>
      </c>
      <c r="AZ10" s="9">
        <v>127</v>
      </c>
      <c r="BA10" s="9">
        <v>229</v>
      </c>
      <c r="BB10" s="9">
        <v>158</v>
      </c>
      <c r="BC10" s="9">
        <v>99</v>
      </c>
      <c r="BD10" s="3">
        <v>44.4</v>
      </c>
      <c r="BE10" s="3">
        <v>15.5</v>
      </c>
      <c r="BF10" s="3">
        <v>5.4</v>
      </c>
      <c r="BG10" s="9">
        <v>82</v>
      </c>
      <c r="BH10" s="3">
        <v>1.8</v>
      </c>
      <c r="BI10" s="9">
        <v>1</v>
      </c>
      <c r="BJ10" s="9">
        <v>1</v>
      </c>
      <c r="BK10" s="9">
        <v>1</v>
      </c>
      <c r="BL10" s="9">
        <v>1</v>
      </c>
      <c r="BM10" s="9">
        <v>0</v>
      </c>
      <c r="BN10" s="9">
        <v>4</v>
      </c>
      <c r="BO10" s="9">
        <v>5</v>
      </c>
      <c r="BP10" s="9">
        <v>30</v>
      </c>
      <c r="BQ10" s="9">
        <v>9</v>
      </c>
    </row>
    <row r="11" spans="1:69" x14ac:dyDescent="0.25">
      <c r="A11" s="2">
        <v>25121</v>
      </c>
      <c r="B11" s="9">
        <v>2</v>
      </c>
      <c r="C11" s="9">
        <v>5</v>
      </c>
      <c r="D11" s="6">
        <v>0.96875</v>
      </c>
      <c r="E11" s="4">
        <v>465.63799999999998</v>
      </c>
      <c r="F11" s="4">
        <v>451.05</v>
      </c>
      <c r="G11" s="4">
        <v>511.125</v>
      </c>
      <c r="H11" s="5">
        <v>60.075000000000003</v>
      </c>
      <c r="I11" s="9">
        <v>4</v>
      </c>
      <c r="J11" s="7">
        <v>0.97499999999999998</v>
      </c>
      <c r="K11" s="4">
        <v>423.71899999999999</v>
      </c>
      <c r="L11" s="4">
        <v>412.95</v>
      </c>
      <c r="M11" s="4">
        <v>442.9</v>
      </c>
      <c r="N11" s="6">
        <v>29.95</v>
      </c>
      <c r="O11" s="9">
        <v>209</v>
      </c>
      <c r="P11" s="9">
        <v>31</v>
      </c>
      <c r="Q11" s="7">
        <v>0.87083299999999997</v>
      </c>
      <c r="R11" s="8">
        <v>0.129167</v>
      </c>
      <c r="S11" s="9">
        <v>217</v>
      </c>
      <c r="T11" s="9">
        <v>3</v>
      </c>
      <c r="U11" s="7">
        <v>0.90416700000000005</v>
      </c>
      <c r="V11" s="8">
        <v>9.5833299999999996E-2</v>
      </c>
      <c r="W11" s="9">
        <v>24</v>
      </c>
      <c r="X11" s="9">
        <v>22</v>
      </c>
      <c r="Y11" s="9">
        <v>2</v>
      </c>
      <c r="Z11" s="9">
        <v>22</v>
      </c>
      <c r="AA11" s="9">
        <v>37</v>
      </c>
      <c r="AB11" s="9">
        <v>36</v>
      </c>
      <c r="AC11" s="9">
        <v>1</v>
      </c>
      <c r="AD11" s="9">
        <v>36</v>
      </c>
      <c r="AE11" s="9">
        <v>76</v>
      </c>
      <c r="AF11" s="9">
        <v>76</v>
      </c>
      <c r="AG11" s="9">
        <v>0</v>
      </c>
      <c r="AH11" s="9">
        <v>76</v>
      </c>
      <c r="AI11" s="9">
        <v>79</v>
      </c>
      <c r="AJ11" s="9">
        <v>79</v>
      </c>
      <c r="AK11" s="9">
        <v>0</v>
      </c>
      <c r="AL11" s="9">
        <v>79</v>
      </c>
      <c r="AM11" s="9">
        <v>59</v>
      </c>
      <c r="AN11" s="4">
        <v>1.59</v>
      </c>
      <c r="AO11" s="3">
        <v>90.9</v>
      </c>
      <c r="AP11" s="2">
        <v>35.955856176575296</v>
      </c>
      <c r="AQ11" s="2">
        <v>100</v>
      </c>
      <c r="AR11" s="9">
        <v>115</v>
      </c>
      <c r="AS11" s="9">
        <v>75</v>
      </c>
      <c r="AT11" s="2">
        <v>88.2</v>
      </c>
      <c r="AU11" s="9">
        <v>40</v>
      </c>
      <c r="AV11" s="9">
        <v>68</v>
      </c>
      <c r="AW11" t="s">
        <v>63</v>
      </c>
      <c r="AX11" t="s">
        <v>64</v>
      </c>
      <c r="AY11" s="9">
        <v>70</v>
      </c>
      <c r="AZ11" s="9">
        <v>137</v>
      </c>
      <c r="BA11" s="9">
        <v>235</v>
      </c>
      <c r="BB11" s="9">
        <v>150</v>
      </c>
      <c r="BC11" s="9">
        <v>100</v>
      </c>
      <c r="BD11" s="3">
        <v>42.5</v>
      </c>
      <c r="BE11" s="3">
        <v>14.2</v>
      </c>
      <c r="BF11" s="3">
        <v>5.3</v>
      </c>
      <c r="BG11" s="9">
        <v>89</v>
      </c>
      <c r="BH11" s="3">
        <v>1.7</v>
      </c>
      <c r="BI11" s="9">
        <v>0</v>
      </c>
      <c r="BJ11" s="9">
        <v>1</v>
      </c>
      <c r="BK11" s="9">
        <v>1</v>
      </c>
      <c r="BL11" s="9">
        <v>1</v>
      </c>
      <c r="BM11" s="9">
        <v>0</v>
      </c>
      <c r="BN11" s="9">
        <v>3</v>
      </c>
      <c r="BO11" s="9">
        <v>1</v>
      </c>
      <c r="BP11" s="9">
        <v>30</v>
      </c>
      <c r="BQ11" s="9">
        <v>12</v>
      </c>
    </row>
    <row r="12" spans="1:69" x14ac:dyDescent="0.25">
      <c r="A12" s="2">
        <v>25463</v>
      </c>
      <c r="B12" s="9">
        <v>2</v>
      </c>
      <c r="C12" s="9">
        <v>6</v>
      </c>
      <c r="D12" s="6">
        <v>0.96250000000000002</v>
      </c>
      <c r="E12" s="4">
        <v>527.32500000000005</v>
      </c>
      <c r="F12" s="4">
        <v>515.85</v>
      </c>
      <c r="G12" s="4">
        <v>595.52499999999998</v>
      </c>
      <c r="H12" s="5">
        <v>79.674999999999997</v>
      </c>
      <c r="I12" s="9">
        <v>3</v>
      </c>
      <c r="J12" s="7">
        <v>0.98124999999999996</v>
      </c>
      <c r="K12" s="4">
        <v>527.53099999999995</v>
      </c>
      <c r="L12" s="4">
        <v>509.25</v>
      </c>
      <c r="M12" s="4">
        <v>591.75</v>
      </c>
      <c r="N12" s="6">
        <v>82.5</v>
      </c>
      <c r="O12" s="9">
        <v>233</v>
      </c>
      <c r="P12" s="9">
        <v>7</v>
      </c>
      <c r="Q12" s="7">
        <v>0.97083299999999995</v>
      </c>
      <c r="R12" s="8">
        <v>2.91667E-2</v>
      </c>
      <c r="S12" s="9">
        <v>237</v>
      </c>
      <c r="T12" s="9">
        <v>3</v>
      </c>
      <c r="U12" s="7">
        <v>0.98750000000000004</v>
      </c>
      <c r="V12" s="8">
        <v>1.2500000000000001E-2</v>
      </c>
      <c r="W12" s="9">
        <v>42</v>
      </c>
      <c r="X12" s="9">
        <v>42</v>
      </c>
      <c r="Y12" s="9">
        <v>0</v>
      </c>
      <c r="Z12" s="9">
        <v>42</v>
      </c>
      <c r="AA12" s="9">
        <v>42</v>
      </c>
      <c r="AB12" s="9">
        <v>42</v>
      </c>
      <c r="AC12" s="9">
        <v>0</v>
      </c>
      <c r="AD12" s="9">
        <v>42</v>
      </c>
      <c r="AE12" s="9">
        <v>67</v>
      </c>
      <c r="AF12" s="9">
        <v>67</v>
      </c>
      <c r="AG12" s="9">
        <v>0</v>
      </c>
      <c r="AH12" s="9">
        <v>67</v>
      </c>
      <c r="AI12" s="9">
        <v>76</v>
      </c>
      <c r="AJ12" s="9">
        <v>76</v>
      </c>
      <c r="AK12" s="9">
        <v>0</v>
      </c>
      <c r="AL12" s="9">
        <v>76</v>
      </c>
      <c r="AM12" s="9">
        <v>72</v>
      </c>
      <c r="AN12" s="4">
        <v>1.55</v>
      </c>
      <c r="AO12" s="3">
        <v>71.2</v>
      </c>
      <c r="AP12" s="2">
        <v>29.635796045785636</v>
      </c>
      <c r="AQ12" s="2">
        <v>99</v>
      </c>
      <c r="AR12" s="9">
        <v>165</v>
      </c>
      <c r="AS12" s="9">
        <v>75</v>
      </c>
      <c r="AT12" s="2">
        <v>104.7</v>
      </c>
      <c r="AU12" s="9">
        <v>90</v>
      </c>
      <c r="AV12" s="9">
        <v>57</v>
      </c>
      <c r="AW12" t="s">
        <v>63</v>
      </c>
      <c r="AX12" t="s">
        <v>64</v>
      </c>
      <c r="AY12" s="9">
        <v>64</v>
      </c>
      <c r="AZ12" s="9">
        <v>175</v>
      </c>
      <c r="BA12" s="9">
        <v>268</v>
      </c>
      <c r="BB12" s="9">
        <v>143</v>
      </c>
      <c r="BC12" s="9">
        <v>88</v>
      </c>
      <c r="BD12" s="3">
        <v>39.799999999999997</v>
      </c>
      <c r="BE12" s="3">
        <v>13.6</v>
      </c>
      <c r="BF12" s="3">
        <v>5.5</v>
      </c>
      <c r="BG12" s="9">
        <v>67</v>
      </c>
      <c r="BH12" s="3">
        <v>1.6</v>
      </c>
      <c r="BI12" s="9">
        <v>1</v>
      </c>
      <c r="BJ12" s="9">
        <v>0</v>
      </c>
      <c r="BK12" s="9">
        <v>0</v>
      </c>
      <c r="BL12" s="9">
        <v>1</v>
      </c>
      <c r="BM12" s="9">
        <v>0</v>
      </c>
      <c r="BN12" s="9">
        <v>2</v>
      </c>
      <c r="BO12" s="9">
        <v>0</v>
      </c>
      <c r="BP12" s="9">
        <v>29</v>
      </c>
      <c r="BQ12" s="9">
        <v>11</v>
      </c>
    </row>
    <row r="13" spans="1:69" x14ac:dyDescent="0.25">
      <c r="A13" s="2">
        <v>25724</v>
      </c>
      <c r="B13" s="9">
        <v>1</v>
      </c>
      <c r="C13" s="9">
        <v>5</v>
      </c>
      <c r="D13" s="6">
        <v>0.96899999999999997</v>
      </c>
      <c r="E13" s="4">
        <v>517.5</v>
      </c>
      <c r="F13" s="4">
        <v>511.4</v>
      </c>
      <c r="G13" s="4">
        <v>573.6</v>
      </c>
      <c r="H13" s="5">
        <v>62.2</v>
      </c>
      <c r="I13" s="9">
        <v>4</v>
      </c>
      <c r="J13" s="7">
        <v>0.97499999999999998</v>
      </c>
      <c r="K13" s="4">
        <v>521.18799999999999</v>
      </c>
      <c r="L13" s="4">
        <v>489.85</v>
      </c>
      <c r="M13" s="4">
        <v>581.67499999999995</v>
      </c>
      <c r="N13" s="6">
        <v>91.825000000000003</v>
      </c>
      <c r="O13" s="9">
        <v>216</v>
      </c>
      <c r="P13" s="9">
        <v>24</v>
      </c>
      <c r="Q13" s="7">
        <v>0.9</v>
      </c>
      <c r="R13" s="8">
        <v>0.1</v>
      </c>
      <c r="S13" s="9">
        <v>229</v>
      </c>
      <c r="T13" s="9">
        <v>11</v>
      </c>
      <c r="U13" s="7">
        <v>0.95416699999999999</v>
      </c>
      <c r="V13" s="8">
        <v>4.58333E-2</v>
      </c>
      <c r="W13" s="9">
        <v>49</v>
      </c>
      <c r="X13" s="9">
        <v>49</v>
      </c>
      <c r="Y13" s="9">
        <v>0</v>
      </c>
      <c r="Z13" s="9">
        <v>49</v>
      </c>
      <c r="AA13" s="9">
        <v>41</v>
      </c>
      <c r="AB13" s="9">
        <v>41</v>
      </c>
      <c r="AC13" s="9">
        <v>0</v>
      </c>
      <c r="AD13" s="9">
        <v>41</v>
      </c>
      <c r="AE13" s="9">
        <v>92</v>
      </c>
      <c r="AF13" s="9">
        <v>92</v>
      </c>
      <c r="AG13" s="9">
        <v>0</v>
      </c>
      <c r="AH13" s="9">
        <v>92</v>
      </c>
      <c r="AI13" s="9">
        <v>97</v>
      </c>
      <c r="AJ13" s="9">
        <v>97</v>
      </c>
      <c r="AK13" s="9">
        <v>0</v>
      </c>
      <c r="AL13" s="9">
        <v>97</v>
      </c>
      <c r="AM13" s="9">
        <v>65</v>
      </c>
      <c r="AN13" s="4">
        <v>1.72</v>
      </c>
      <c r="AO13" s="3">
        <v>97.3</v>
      </c>
      <c r="AP13" s="2">
        <v>32.889399675500272</v>
      </c>
      <c r="AQ13" s="2">
        <v>120</v>
      </c>
      <c r="AR13" s="9">
        <v>143</v>
      </c>
      <c r="AS13" s="9">
        <v>80</v>
      </c>
      <c r="AT13" s="2">
        <v>100.79</v>
      </c>
      <c r="AU13" s="9">
        <v>63</v>
      </c>
      <c r="AV13" s="9">
        <v>70</v>
      </c>
      <c r="AW13" t="s">
        <v>63</v>
      </c>
      <c r="AX13" t="s">
        <v>64</v>
      </c>
      <c r="AY13" s="9">
        <v>51</v>
      </c>
      <c r="AZ13" s="9">
        <v>170</v>
      </c>
      <c r="BA13" s="9">
        <v>253</v>
      </c>
      <c r="BB13" s="9">
        <v>170</v>
      </c>
      <c r="BC13" s="9">
        <v>90</v>
      </c>
      <c r="BD13" s="3">
        <v>40.200000000000003</v>
      </c>
      <c r="BE13" s="3">
        <v>13.3</v>
      </c>
      <c r="BF13" s="3">
        <v>5.4</v>
      </c>
      <c r="BG13" s="9">
        <v>87</v>
      </c>
      <c r="BH13" s="3">
        <v>1.9</v>
      </c>
      <c r="BI13" s="9">
        <v>1</v>
      </c>
      <c r="BJ13" s="9">
        <v>0</v>
      </c>
      <c r="BK13" s="9">
        <v>1</v>
      </c>
      <c r="BL13" s="9">
        <v>1</v>
      </c>
      <c r="BM13" s="9">
        <v>0</v>
      </c>
      <c r="BN13" s="9">
        <v>3</v>
      </c>
      <c r="BO13" s="9">
        <v>3</v>
      </c>
      <c r="BP13" s="9">
        <v>29</v>
      </c>
      <c r="BQ13" s="9">
        <v>9</v>
      </c>
    </row>
    <row r="14" spans="1:69" x14ac:dyDescent="0.25">
      <c r="A14" s="2">
        <v>28226</v>
      </c>
      <c r="B14" s="9">
        <v>1</v>
      </c>
      <c r="C14" s="9">
        <v>1</v>
      </c>
      <c r="D14" s="6">
        <v>0.99375000000000002</v>
      </c>
      <c r="E14" s="4">
        <v>546.6</v>
      </c>
      <c r="F14" s="4">
        <v>523.42499999999995</v>
      </c>
      <c r="G14" s="4">
        <v>606.125</v>
      </c>
      <c r="H14" s="5">
        <v>82.7</v>
      </c>
      <c r="I14" s="9">
        <v>0</v>
      </c>
      <c r="J14" s="7">
        <v>1</v>
      </c>
      <c r="K14" s="4">
        <v>532.30600000000004</v>
      </c>
      <c r="L14" s="4">
        <v>513.77499999999998</v>
      </c>
      <c r="M14" s="4">
        <v>598.04999999999995</v>
      </c>
      <c r="N14" s="6">
        <v>84.275000000000006</v>
      </c>
      <c r="O14" s="9">
        <v>238</v>
      </c>
      <c r="P14" s="9">
        <v>2</v>
      </c>
      <c r="Q14" s="7">
        <v>0.99166699999999997</v>
      </c>
      <c r="R14" s="8">
        <v>8.3333299999999999E-3</v>
      </c>
      <c r="S14" s="9">
        <v>235</v>
      </c>
      <c r="T14" s="9">
        <v>5</v>
      </c>
      <c r="U14" s="7">
        <v>0.97916700000000001</v>
      </c>
      <c r="V14" s="8">
        <v>2.0833000000000001E-2</v>
      </c>
      <c r="W14" s="9">
        <v>49</v>
      </c>
      <c r="X14" s="9">
        <v>49</v>
      </c>
      <c r="Y14" s="9">
        <v>0</v>
      </c>
      <c r="Z14" s="9">
        <v>49</v>
      </c>
      <c r="AA14" s="9">
        <v>40</v>
      </c>
      <c r="AB14" s="9">
        <v>40</v>
      </c>
      <c r="AC14" s="9">
        <v>0</v>
      </c>
      <c r="AD14" s="9">
        <v>40</v>
      </c>
      <c r="AE14" s="9">
        <v>81</v>
      </c>
      <c r="AF14" s="9">
        <v>81</v>
      </c>
      <c r="AG14" s="9">
        <v>0</v>
      </c>
      <c r="AH14" s="9">
        <v>81</v>
      </c>
      <c r="AI14" s="9">
        <v>81</v>
      </c>
      <c r="AJ14" s="9">
        <v>81</v>
      </c>
      <c r="AK14" s="9">
        <v>0</v>
      </c>
      <c r="AL14" s="9">
        <v>81</v>
      </c>
      <c r="AM14" s="9">
        <v>60</v>
      </c>
      <c r="AN14" s="4">
        <v>1.67</v>
      </c>
      <c r="AO14" s="3">
        <v>82.3</v>
      </c>
      <c r="AP14" s="2">
        <v>29.509842590268565</v>
      </c>
      <c r="AQ14" s="2">
        <v>105</v>
      </c>
      <c r="AR14" s="9">
        <v>144</v>
      </c>
      <c r="AS14" s="9">
        <v>76</v>
      </c>
      <c r="AT14" s="2">
        <v>98.44</v>
      </c>
      <c r="AU14" s="9">
        <v>68</v>
      </c>
      <c r="AV14" s="9">
        <v>76</v>
      </c>
      <c r="AW14" t="s">
        <v>63</v>
      </c>
      <c r="AX14" t="s">
        <v>64</v>
      </c>
      <c r="AY14" s="9">
        <v>43</v>
      </c>
      <c r="AZ14" s="9">
        <v>88</v>
      </c>
      <c r="BA14" s="9">
        <v>162</v>
      </c>
      <c r="BB14" s="9">
        <v>226</v>
      </c>
      <c r="BC14" s="9">
        <v>106</v>
      </c>
      <c r="BD14" s="3">
        <v>39.700000000000003</v>
      </c>
      <c r="BE14" s="3">
        <v>13.8</v>
      </c>
      <c r="BF14" s="3">
        <v>6.1</v>
      </c>
      <c r="BG14" s="9">
        <v>97</v>
      </c>
      <c r="BH14" s="3">
        <v>1.6</v>
      </c>
      <c r="BI14" s="9">
        <v>1</v>
      </c>
      <c r="BJ14" s="9">
        <v>1</v>
      </c>
      <c r="BK14" s="9">
        <v>1</v>
      </c>
      <c r="BL14" s="9">
        <v>1</v>
      </c>
      <c r="BM14" s="9">
        <v>1</v>
      </c>
      <c r="BN14" s="9">
        <v>5</v>
      </c>
      <c r="BO14" s="9">
        <v>1</v>
      </c>
      <c r="BP14" s="9">
        <v>30</v>
      </c>
      <c r="BQ14" s="9">
        <v>11</v>
      </c>
    </row>
    <row r="15" spans="1:69" x14ac:dyDescent="0.25">
      <c r="A15" s="2">
        <v>28474</v>
      </c>
      <c r="B15" s="9">
        <v>2</v>
      </c>
      <c r="C15" s="9">
        <v>6</v>
      </c>
      <c r="D15" s="6">
        <v>0.96250000000000002</v>
      </c>
      <c r="E15" s="4">
        <v>624.1</v>
      </c>
      <c r="F15" s="4">
        <v>612.6</v>
      </c>
      <c r="G15" s="4">
        <v>696.1</v>
      </c>
      <c r="H15" s="5">
        <v>83.5</v>
      </c>
      <c r="I15" s="9">
        <v>11</v>
      </c>
      <c r="J15" s="7">
        <v>0.93125000000000002</v>
      </c>
      <c r="K15" s="4">
        <v>587.15</v>
      </c>
      <c r="L15" s="4">
        <v>573.47500000000002</v>
      </c>
      <c r="M15" s="4">
        <v>665.7</v>
      </c>
      <c r="N15" s="6">
        <v>92.224999999999994</v>
      </c>
      <c r="O15" s="9">
        <v>239</v>
      </c>
      <c r="P15" s="9">
        <v>1</v>
      </c>
      <c r="Q15" s="7">
        <v>0.996</v>
      </c>
      <c r="R15" s="8">
        <v>4.0000000000000001E-3</v>
      </c>
      <c r="S15" s="9">
        <v>239</v>
      </c>
      <c r="T15" s="9">
        <v>1</v>
      </c>
      <c r="U15" s="7">
        <v>0.99583299999999997</v>
      </c>
      <c r="V15" s="8">
        <v>4.1666699999999999E-3</v>
      </c>
      <c r="W15" s="9">
        <v>28</v>
      </c>
      <c r="X15" s="9">
        <v>28</v>
      </c>
      <c r="Y15" s="9">
        <v>0</v>
      </c>
      <c r="Z15" s="9">
        <v>28</v>
      </c>
      <c r="AA15" s="9">
        <v>34</v>
      </c>
      <c r="AB15" s="9">
        <v>34</v>
      </c>
      <c r="AC15" s="9">
        <v>0</v>
      </c>
      <c r="AD15" s="9">
        <v>34</v>
      </c>
      <c r="AE15" s="9">
        <v>66</v>
      </c>
      <c r="AF15" s="9">
        <v>66</v>
      </c>
      <c r="AG15" s="9">
        <v>0</v>
      </c>
      <c r="AH15" s="9">
        <v>66</v>
      </c>
      <c r="AI15" s="9">
        <v>72</v>
      </c>
      <c r="AJ15" s="9">
        <v>72</v>
      </c>
      <c r="AK15" s="9">
        <v>0</v>
      </c>
      <c r="AL15" s="9">
        <v>72</v>
      </c>
      <c r="AM15" s="9">
        <v>65</v>
      </c>
      <c r="AN15" s="4">
        <v>1.595</v>
      </c>
      <c r="AO15" s="3">
        <v>62.1</v>
      </c>
      <c r="AP15" s="2">
        <v>24.410137478994901</v>
      </c>
      <c r="AQ15" s="2">
        <v>96.25</v>
      </c>
      <c r="AR15" s="9">
        <v>156</v>
      </c>
      <c r="AS15" s="9">
        <v>74</v>
      </c>
      <c r="AT15" s="2">
        <v>101.06</v>
      </c>
      <c r="AU15" s="9">
        <v>82</v>
      </c>
      <c r="AV15" s="9">
        <v>60</v>
      </c>
      <c r="AW15" t="s">
        <v>63</v>
      </c>
      <c r="AX15" t="s">
        <v>64</v>
      </c>
      <c r="AY15" s="9">
        <v>63</v>
      </c>
      <c r="AZ15" s="9">
        <v>155</v>
      </c>
      <c r="BA15" s="9">
        <v>240</v>
      </c>
      <c r="BB15" s="9">
        <v>107</v>
      </c>
      <c r="BC15" s="9">
        <v>95</v>
      </c>
      <c r="BD15" s="3">
        <v>39.299999999999997</v>
      </c>
      <c r="BE15" s="3">
        <v>13.4</v>
      </c>
      <c r="BF15" s="3">
        <v>5.6</v>
      </c>
      <c r="BG15" s="9">
        <v>103</v>
      </c>
      <c r="BH15" s="3">
        <v>1.4</v>
      </c>
      <c r="BI15" s="9">
        <v>1</v>
      </c>
      <c r="BJ15" s="9">
        <v>0</v>
      </c>
      <c r="BK15" s="9">
        <v>0</v>
      </c>
      <c r="BL15" s="9">
        <v>1</v>
      </c>
      <c r="BM15" s="9">
        <v>0</v>
      </c>
      <c r="BN15" s="9">
        <v>2</v>
      </c>
      <c r="BO15" s="9">
        <v>0</v>
      </c>
      <c r="BP15" s="9">
        <v>29</v>
      </c>
      <c r="BQ15" s="9">
        <v>11</v>
      </c>
    </row>
    <row r="16" spans="1:69" x14ac:dyDescent="0.25">
      <c r="A16" s="2">
        <v>28572</v>
      </c>
      <c r="B16" s="9">
        <v>2</v>
      </c>
      <c r="C16" s="9">
        <v>0</v>
      </c>
      <c r="D16" s="6">
        <v>1</v>
      </c>
      <c r="E16" s="4">
        <v>543.18799999999999</v>
      </c>
      <c r="F16" s="4">
        <v>532.33299999999997</v>
      </c>
      <c r="G16" s="4">
        <v>554.41700000000003</v>
      </c>
      <c r="H16" s="5">
        <v>22.083300000000001</v>
      </c>
      <c r="I16" s="9">
        <v>0</v>
      </c>
      <c r="J16" s="7">
        <v>1</v>
      </c>
      <c r="K16" s="4">
        <v>543.18799999999999</v>
      </c>
      <c r="L16" s="4">
        <v>532.33299999999997</v>
      </c>
      <c r="M16" s="4">
        <v>554.41700000000003</v>
      </c>
      <c r="N16" s="6">
        <v>22.083300000000001</v>
      </c>
      <c r="O16" s="9">
        <v>237</v>
      </c>
      <c r="P16" s="9">
        <v>3</v>
      </c>
      <c r="Q16" s="7">
        <v>0.98799999999999999</v>
      </c>
      <c r="R16" s="8">
        <v>1.2500000000000001E-2</v>
      </c>
      <c r="S16" s="9">
        <v>237</v>
      </c>
      <c r="T16" s="9">
        <v>3</v>
      </c>
      <c r="U16" s="7">
        <v>0.98750000000000004</v>
      </c>
      <c r="V16" s="8">
        <v>1.2500000000000001E-2</v>
      </c>
      <c r="W16" s="9">
        <v>31</v>
      </c>
      <c r="X16" s="9">
        <v>31</v>
      </c>
      <c r="Y16" s="9">
        <v>0</v>
      </c>
      <c r="Z16" s="9">
        <v>31</v>
      </c>
      <c r="AA16" s="9">
        <v>38</v>
      </c>
      <c r="AB16" s="9">
        <v>38</v>
      </c>
      <c r="AC16" s="9">
        <v>0</v>
      </c>
      <c r="AD16" s="9">
        <v>38</v>
      </c>
      <c r="AE16" s="9">
        <v>65</v>
      </c>
      <c r="AF16" s="9">
        <v>65</v>
      </c>
      <c r="AG16" s="9">
        <v>0</v>
      </c>
      <c r="AH16" s="9">
        <v>65</v>
      </c>
      <c r="AI16" s="9">
        <v>65</v>
      </c>
      <c r="AJ16" s="9">
        <v>65</v>
      </c>
      <c r="AK16" s="9">
        <v>0</v>
      </c>
      <c r="AL16" s="9">
        <v>65</v>
      </c>
      <c r="AM16" s="9">
        <v>65</v>
      </c>
      <c r="AN16" s="4">
        <v>1.67</v>
      </c>
      <c r="AO16" s="3">
        <v>100.5</v>
      </c>
      <c r="AP16" s="2">
        <v>36.035713005127469</v>
      </c>
      <c r="AQ16" s="2">
        <v>107.25</v>
      </c>
      <c r="AR16" s="9">
        <v>143</v>
      </c>
      <c r="AS16" s="9">
        <v>85</v>
      </c>
      <c r="AT16" s="2">
        <v>104.14</v>
      </c>
      <c r="AU16" s="9">
        <v>58</v>
      </c>
      <c r="AV16" s="9">
        <v>63</v>
      </c>
      <c r="AW16" t="s">
        <v>63</v>
      </c>
      <c r="AX16" t="s">
        <v>67</v>
      </c>
      <c r="AY16" s="9">
        <v>61</v>
      </c>
      <c r="AZ16" s="9">
        <v>125</v>
      </c>
      <c r="BA16" s="9">
        <v>201</v>
      </c>
      <c r="BB16" s="9">
        <v>56</v>
      </c>
      <c r="BC16" s="9">
        <v>77</v>
      </c>
      <c r="BD16" s="3">
        <v>39.299999999999997</v>
      </c>
      <c r="BE16" s="3">
        <v>12.8</v>
      </c>
      <c r="BF16" s="1"/>
      <c r="BG16" s="9">
        <v>78</v>
      </c>
      <c r="BH16" s="3">
        <v>1.8</v>
      </c>
      <c r="BI16" s="9">
        <v>1</v>
      </c>
      <c r="BJ16" s="9">
        <v>0</v>
      </c>
      <c r="BK16" s="9">
        <v>0</v>
      </c>
      <c r="BL16" s="9">
        <v>1</v>
      </c>
      <c r="BM16" s="9">
        <v>0</v>
      </c>
      <c r="BN16" s="9">
        <v>2</v>
      </c>
      <c r="BO16" s="9">
        <v>0</v>
      </c>
      <c r="BP16" s="9">
        <v>30</v>
      </c>
      <c r="BQ16" s="9">
        <v>11</v>
      </c>
    </row>
    <row r="17" spans="1:69" x14ac:dyDescent="0.25">
      <c r="A17" s="2">
        <v>28597</v>
      </c>
      <c r="B17" s="9">
        <v>2</v>
      </c>
      <c r="C17" s="9">
        <v>2</v>
      </c>
      <c r="D17" s="6">
        <v>0.98750000000000004</v>
      </c>
      <c r="E17" s="4">
        <v>576.79999999999995</v>
      </c>
      <c r="F17" s="4">
        <v>585.27499999999998</v>
      </c>
      <c r="G17" s="4">
        <v>626.82500000000005</v>
      </c>
      <c r="H17" s="5">
        <v>41.55</v>
      </c>
      <c r="I17" s="9">
        <v>1</v>
      </c>
      <c r="J17" s="7">
        <v>0.98958299999999999</v>
      </c>
      <c r="K17" s="4">
        <v>544.30200000000002</v>
      </c>
      <c r="L17" s="4">
        <v>550.83299999999997</v>
      </c>
      <c r="M17" s="4">
        <v>590.25</v>
      </c>
      <c r="N17" s="6">
        <v>39.416699999999999</v>
      </c>
      <c r="O17" s="9">
        <v>221</v>
      </c>
      <c r="P17" s="9">
        <v>19</v>
      </c>
      <c r="Q17" s="7">
        <v>0.92100000000000004</v>
      </c>
      <c r="R17" s="8">
        <v>7.9000000000000001E-2</v>
      </c>
      <c r="S17" s="9">
        <v>234</v>
      </c>
      <c r="T17" s="9">
        <v>6</v>
      </c>
      <c r="U17" s="7">
        <v>0.97499999999999998</v>
      </c>
      <c r="V17" s="8">
        <v>2.5000000000000001E-2</v>
      </c>
      <c r="W17" s="9">
        <v>29</v>
      </c>
      <c r="X17" s="9">
        <v>29</v>
      </c>
      <c r="Y17" s="9">
        <v>0</v>
      </c>
      <c r="Z17" s="9">
        <v>29</v>
      </c>
      <c r="AA17" s="9">
        <v>31</v>
      </c>
      <c r="AB17" s="9">
        <v>31</v>
      </c>
      <c r="AC17" s="9">
        <v>0</v>
      </c>
      <c r="AD17" s="9">
        <v>31</v>
      </c>
      <c r="AE17" s="9">
        <v>64</v>
      </c>
      <c r="AF17" s="9">
        <v>64</v>
      </c>
      <c r="AG17" s="9">
        <v>0</v>
      </c>
      <c r="AH17" s="9">
        <v>64</v>
      </c>
      <c r="AI17" s="9">
        <v>73</v>
      </c>
      <c r="AJ17" s="9">
        <v>73</v>
      </c>
      <c r="AK17" s="9">
        <v>0</v>
      </c>
      <c r="AL17" s="9">
        <v>73</v>
      </c>
      <c r="AM17" s="9">
        <v>70</v>
      </c>
      <c r="AN17" s="4">
        <v>1.66</v>
      </c>
      <c r="AO17" s="3">
        <v>78.7</v>
      </c>
      <c r="AP17" s="2">
        <v>28.560023225431852</v>
      </c>
      <c r="AQ17" s="2">
        <v>100</v>
      </c>
      <c r="AR17" s="9">
        <v>125</v>
      </c>
      <c r="AS17" s="9">
        <v>67</v>
      </c>
      <c r="AT17" s="2">
        <v>86.14</v>
      </c>
      <c r="AU17" s="9">
        <v>58</v>
      </c>
      <c r="AV17" s="9">
        <v>74</v>
      </c>
      <c r="AW17" t="s">
        <v>63</v>
      </c>
      <c r="AX17" t="s">
        <v>64</v>
      </c>
      <c r="AY17" s="9">
        <v>64</v>
      </c>
      <c r="AZ17" s="9">
        <v>134</v>
      </c>
      <c r="BA17" s="9">
        <v>221</v>
      </c>
      <c r="BB17" s="9">
        <v>120</v>
      </c>
      <c r="BC17" s="9">
        <v>101</v>
      </c>
      <c r="BD17" s="3">
        <v>41.8</v>
      </c>
      <c r="BE17" s="3">
        <v>14</v>
      </c>
      <c r="BF17" s="3">
        <v>5.3</v>
      </c>
      <c r="BG17" s="9">
        <v>71</v>
      </c>
      <c r="BH17" s="3">
        <v>1.6</v>
      </c>
      <c r="BI17" s="9">
        <v>0</v>
      </c>
      <c r="BJ17" s="9">
        <v>1</v>
      </c>
      <c r="BK17" s="9">
        <v>0</v>
      </c>
      <c r="BL17" s="9">
        <v>1</v>
      </c>
      <c r="BM17" s="9">
        <v>0</v>
      </c>
      <c r="BN17" s="9">
        <v>2</v>
      </c>
      <c r="BO17" s="10">
        <v>4</v>
      </c>
      <c r="BP17" s="9">
        <v>29</v>
      </c>
      <c r="BQ17" s="9">
        <v>12</v>
      </c>
    </row>
    <row r="18" spans="1:69" x14ac:dyDescent="0.25">
      <c r="A18" s="2">
        <v>28608</v>
      </c>
      <c r="B18" s="9">
        <v>1</v>
      </c>
      <c r="C18" s="9">
        <v>0</v>
      </c>
      <c r="D18" s="6">
        <v>1</v>
      </c>
      <c r="E18" s="4">
        <v>538.79999999999995</v>
      </c>
      <c r="F18" s="4">
        <v>518</v>
      </c>
      <c r="G18" s="4">
        <v>611.1</v>
      </c>
      <c r="H18" s="5">
        <v>93.1</v>
      </c>
      <c r="I18" s="9">
        <v>0</v>
      </c>
      <c r="J18" s="7">
        <v>1</v>
      </c>
      <c r="K18" s="4">
        <v>491.59399999999999</v>
      </c>
      <c r="L18" s="4">
        <v>474.875</v>
      </c>
      <c r="M18" s="4">
        <v>556.27499999999998</v>
      </c>
      <c r="N18" s="6">
        <v>81.400000000000006</v>
      </c>
      <c r="O18" s="9">
        <v>226</v>
      </c>
      <c r="P18" s="9">
        <v>14</v>
      </c>
      <c r="Q18" s="7">
        <v>0.94199999999999995</v>
      </c>
      <c r="R18" s="8">
        <v>5.8000000000000003E-2</v>
      </c>
      <c r="S18" s="9">
        <v>238</v>
      </c>
      <c r="T18" s="9">
        <v>2</v>
      </c>
      <c r="U18" s="7">
        <v>0.99166699999999997</v>
      </c>
      <c r="V18" s="8">
        <v>8.3333299999999999E-3</v>
      </c>
      <c r="W18" s="9">
        <v>39</v>
      </c>
      <c r="X18" s="9">
        <v>39</v>
      </c>
      <c r="Y18" s="9">
        <v>0</v>
      </c>
      <c r="Z18" s="9">
        <v>39</v>
      </c>
      <c r="AA18" s="9">
        <v>42</v>
      </c>
      <c r="AB18" s="9">
        <v>42</v>
      </c>
      <c r="AC18" s="9">
        <v>0</v>
      </c>
      <c r="AD18" s="9">
        <v>42</v>
      </c>
      <c r="AE18" s="9">
        <v>79</v>
      </c>
      <c r="AF18" s="9">
        <v>79</v>
      </c>
      <c r="AG18" s="9">
        <v>0</v>
      </c>
      <c r="AH18" s="9">
        <v>79</v>
      </c>
      <c r="AI18" s="9">
        <v>89</v>
      </c>
      <c r="AJ18" s="9">
        <v>88</v>
      </c>
      <c r="AK18" s="9">
        <v>1</v>
      </c>
      <c r="AL18" s="9">
        <v>88</v>
      </c>
      <c r="AM18" s="9">
        <v>59</v>
      </c>
      <c r="AN18" s="4">
        <v>1.625</v>
      </c>
      <c r="AO18" s="3">
        <v>101.2</v>
      </c>
      <c r="AP18" s="2">
        <v>38.324260355029587</v>
      </c>
      <c r="AQ18" s="2">
        <v>123.5</v>
      </c>
      <c r="AR18" s="9">
        <v>122</v>
      </c>
      <c r="AS18" s="9">
        <v>72</v>
      </c>
      <c r="AT18" s="2">
        <v>88.5</v>
      </c>
      <c r="AU18" s="9">
        <v>50</v>
      </c>
      <c r="AV18" s="9">
        <v>62</v>
      </c>
      <c r="AW18" t="s">
        <v>63</v>
      </c>
      <c r="AX18" t="s">
        <v>64</v>
      </c>
      <c r="AY18" s="9">
        <v>41</v>
      </c>
      <c r="AZ18" s="9">
        <v>126</v>
      </c>
      <c r="BA18" s="9">
        <v>191</v>
      </c>
      <c r="BB18" s="9">
        <v>128</v>
      </c>
      <c r="BC18" s="9">
        <v>88</v>
      </c>
      <c r="BD18" s="3">
        <v>39</v>
      </c>
      <c r="BE18" s="3">
        <v>13.4</v>
      </c>
      <c r="BF18" s="3">
        <v>5</v>
      </c>
      <c r="BG18" s="9">
        <v>102</v>
      </c>
      <c r="BH18" s="3">
        <v>1.6</v>
      </c>
      <c r="BI18" s="9">
        <v>0</v>
      </c>
      <c r="BJ18" s="9">
        <v>0</v>
      </c>
      <c r="BK18" s="9">
        <v>0</v>
      </c>
      <c r="BL18" s="9">
        <v>1</v>
      </c>
      <c r="BM18" s="9">
        <v>1</v>
      </c>
      <c r="BN18" s="9">
        <v>2</v>
      </c>
      <c r="BO18" s="9">
        <v>11</v>
      </c>
      <c r="BP18" s="9">
        <v>29</v>
      </c>
      <c r="BQ18" s="9">
        <v>10</v>
      </c>
    </row>
    <row r="19" spans="1:69" x14ac:dyDescent="0.25">
      <c r="A19" s="2">
        <v>28609</v>
      </c>
      <c r="B19" s="9">
        <v>1</v>
      </c>
      <c r="C19" s="9">
        <v>1</v>
      </c>
      <c r="D19" s="6">
        <v>0.98899999999999999</v>
      </c>
      <c r="E19" s="4">
        <v>523.5</v>
      </c>
      <c r="F19" s="4">
        <v>508</v>
      </c>
      <c r="G19" s="4">
        <v>589.1</v>
      </c>
      <c r="H19" s="5">
        <v>71.099999999999994</v>
      </c>
      <c r="I19" s="9">
        <v>1</v>
      </c>
      <c r="J19" s="7">
        <v>0.98899999999999999</v>
      </c>
      <c r="K19" s="4">
        <v>523.5</v>
      </c>
      <c r="L19" s="4">
        <v>508</v>
      </c>
      <c r="M19" s="4">
        <v>579.125</v>
      </c>
      <c r="N19" s="6">
        <v>71.125</v>
      </c>
      <c r="O19" s="9">
        <v>232</v>
      </c>
      <c r="P19" s="9">
        <v>8</v>
      </c>
      <c r="Q19" s="7">
        <v>0.96699999999999997</v>
      </c>
      <c r="R19" s="8">
        <v>3.3000000000000002E-2</v>
      </c>
      <c r="S19" s="9">
        <v>234</v>
      </c>
      <c r="T19" s="9">
        <v>6</v>
      </c>
      <c r="U19" s="7">
        <v>0.97499999999999998</v>
      </c>
      <c r="V19" s="8">
        <v>2.5000000000000001E-2</v>
      </c>
      <c r="W19" s="9">
        <v>32</v>
      </c>
      <c r="X19" s="9">
        <v>32</v>
      </c>
      <c r="Y19" s="9">
        <v>0</v>
      </c>
      <c r="Z19" s="9">
        <v>32</v>
      </c>
      <c r="AA19" s="9">
        <v>36</v>
      </c>
      <c r="AB19" s="9">
        <v>36</v>
      </c>
      <c r="AC19" s="9">
        <v>0</v>
      </c>
      <c r="AD19" s="9">
        <v>36</v>
      </c>
      <c r="AE19" s="9">
        <v>64</v>
      </c>
      <c r="AF19" s="9">
        <v>64</v>
      </c>
      <c r="AG19" s="9">
        <v>0</v>
      </c>
      <c r="AH19" s="9">
        <v>64</v>
      </c>
      <c r="AI19" s="9">
        <v>73</v>
      </c>
      <c r="AJ19" s="9">
        <v>72</v>
      </c>
      <c r="AK19" s="9">
        <v>1</v>
      </c>
      <c r="AL19" s="9">
        <v>72</v>
      </c>
      <c r="AM19" s="9">
        <v>65</v>
      </c>
      <c r="AN19" s="4">
        <v>1.8049999999999999</v>
      </c>
      <c r="AO19" s="3">
        <v>88.6</v>
      </c>
      <c r="AP19" s="2">
        <v>27.194389238879381</v>
      </c>
      <c r="AQ19" s="2">
        <v>112.5</v>
      </c>
      <c r="AR19" s="9">
        <v>136</v>
      </c>
      <c r="AS19" s="9">
        <v>83</v>
      </c>
      <c r="AT19" s="2">
        <v>100.49000000000001</v>
      </c>
      <c r="AU19" s="9">
        <v>53</v>
      </c>
      <c r="AV19" s="9">
        <v>80</v>
      </c>
      <c r="AW19" t="s">
        <v>65</v>
      </c>
      <c r="AX19" t="s">
        <v>64</v>
      </c>
      <c r="AY19" s="9">
        <v>41</v>
      </c>
      <c r="AZ19" s="9">
        <v>121</v>
      </c>
      <c r="BA19" s="9">
        <v>186</v>
      </c>
      <c r="BB19" s="9">
        <v>126</v>
      </c>
      <c r="BC19" s="9">
        <v>101</v>
      </c>
      <c r="BD19" s="3">
        <v>46.3</v>
      </c>
      <c r="BE19" s="3">
        <v>16.600000000000001</v>
      </c>
      <c r="BF19" s="3">
        <v>5.0999999999999996</v>
      </c>
      <c r="BG19" s="9">
        <v>99</v>
      </c>
      <c r="BH19" s="3">
        <v>1.9</v>
      </c>
      <c r="BI19" s="9">
        <v>1</v>
      </c>
      <c r="BJ19" s="9">
        <v>1</v>
      </c>
      <c r="BK19" s="9">
        <v>0</v>
      </c>
      <c r="BL19" s="9">
        <v>1</v>
      </c>
      <c r="BM19" s="9">
        <v>0</v>
      </c>
      <c r="BN19" s="9">
        <v>3</v>
      </c>
      <c r="BO19" s="9">
        <v>2</v>
      </c>
      <c r="BP19" s="9">
        <v>30</v>
      </c>
      <c r="BQ19" s="9">
        <v>10</v>
      </c>
    </row>
    <row r="20" spans="1:69" x14ac:dyDescent="0.25">
      <c r="A20" s="2">
        <v>28632</v>
      </c>
      <c r="B20" s="9">
        <v>2</v>
      </c>
      <c r="C20" s="9">
        <v>3</v>
      </c>
      <c r="D20" s="6">
        <v>0.98124999999999996</v>
      </c>
      <c r="E20" s="4">
        <v>525.19399999999996</v>
      </c>
      <c r="F20" s="4">
        <v>505.125</v>
      </c>
      <c r="G20" s="4">
        <v>593.22500000000002</v>
      </c>
      <c r="H20" s="5">
        <v>88.1</v>
      </c>
      <c r="I20" s="9">
        <v>7</v>
      </c>
      <c r="J20" s="7">
        <v>0.95625000000000004</v>
      </c>
      <c r="K20" s="4">
        <v>475.11200000000002</v>
      </c>
      <c r="L20" s="4">
        <v>476.625</v>
      </c>
      <c r="M20" s="4">
        <v>520.07500000000005</v>
      </c>
      <c r="N20" s="6">
        <v>43.45</v>
      </c>
      <c r="O20" s="9">
        <v>219</v>
      </c>
      <c r="P20" s="9">
        <v>21</v>
      </c>
      <c r="Q20" s="7">
        <v>0.91249999999999998</v>
      </c>
      <c r="R20" s="8">
        <v>8.7499999999999994E-2</v>
      </c>
      <c r="S20" s="9">
        <v>217</v>
      </c>
      <c r="T20" s="9">
        <v>23</v>
      </c>
      <c r="U20" s="7">
        <v>0.90416700000000005</v>
      </c>
      <c r="V20" s="8">
        <v>0.95833299999999999</v>
      </c>
      <c r="W20" s="9">
        <v>33</v>
      </c>
      <c r="X20" s="9">
        <v>33</v>
      </c>
      <c r="Y20" s="9">
        <v>0</v>
      </c>
      <c r="Z20" s="9">
        <v>33</v>
      </c>
      <c r="AA20" s="9">
        <v>33</v>
      </c>
      <c r="AB20" s="9">
        <v>33</v>
      </c>
      <c r="AC20" s="9">
        <v>0</v>
      </c>
      <c r="AD20" s="9">
        <v>33</v>
      </c>
      <c r="AE20" s="9">
        <v>82</v>
      </c>
      <c r="AF20" s="9">
        <v>82</v>
      </c>
      <c r="AG20" s="9">
        <v>0</v>
      </c>
      <c r="AH20" s="9">
        <v>82</v>
      </c>
      <c r="AI20" s="9">
        <v>67</v>
      </c>
      <c r="AJ20" s="9">
        <v>67</v>
      </c>
      <c r="AK20" s="9">
        <v>0</v>
      </c>
      <c r="AL20" s="9">
        <v>67</v>
      </c>
      <c r="AM20" s="9">
        <v>72</v>
      </c>
      <c r="AN20" s="4">
        <v>1.88</v>
      </c>
      <c r="AO20" s="3">
        <v>99.1</v>
      </c>
      <c r="AP20" s="2">
        <v>28.038705296514259</v>
      </c>
      <c r="AQ20" s="2">
        <v>104.25</v>
      </c>
      <c r="AR20" s="9">
        <v>118</v>
      </c>
      <c r="AS20" s="9">
        <v>63</v>
      </c>
      <c r="AT20" s="2">
        <v>81.150000000000006</v>
      </c>
      <c r="AU20" s="9">
        <v>55</v>
      </c>
      <c r="AV20" s="9">
        <v>53</v>
      </c>
      <c r="AW20" t="s">
        <v>63</v>
      </c>
      <c r="AX20" t="s">
        <v>64</v>
      </c>
      <c r="AY20" s="9">
        <v>56</v>
      </c>
      <c r="AZ20" s="9">
        <v>93</v>
      </c>
      <c r="BA20" s="9">
        <v>164</v>
      </c>
      <c r="BB20" s="9">
        <v>61</v>
      </c>
      <c r="BC20" s="9">
        <v>100</v>
      </c>
      <c r="BD20" s="3">
        <v>41.9</v>
      </c>
      <c r="BE20" s="3">
        <v>14.3</v>
      </c>
      <c r="BF20" s="3">
        <v>5.3</v>
      </c>
      <c r="BG20" s="9">
        <v>72</v>
      </c>
      <c r="BH20" s="3">
        <v>2.7</v>
      </c>
      <c r="BI20" s="9">
        <v>0</v>
      </c>
      <c r="BJ20" s="9">
        <v>1</v>
      </c>
      <c r="BK20" s="9">
        <v>0</v>
      </c>
      <c r="BL20" s="9">
        <v>1</v>
      </c>
      <c r="BM20" s="9">
        <v>0</v>
      </c>
      <c r="BN20" s="9">
        <v>2</v>
      </c>
      <c r="BO20" s="9">
        <v>3</v>
      </c>
      <c r="BP20" s="9">
        <v>29</v>
      </c>
      <c r="BQ20" s="9">
        <v>11</v>
      </c>
    </row>
    <row r="21" spans="1:69" x14ac:dyDescent="0.25">
      <c r="A21" s="2">
        <v>28664</v>
      </c>
      <c r="B21" s="9">
        <v>2</v>
      </c>
      <c r="C21" s="9">
        <v>3</v>
      </c>
      <c r="D21" s="6">
        <v>0.98124999999999996</v>
      </c>
      <c r="E21" s="4">
        <v>517.18799999999999</v>
      </c>
      <c r="F21" s="4">
        <v>501.2</v>
      </c>
      <c r="G21" s="4">
        <v>584.82500000000005</v>
      </c>
      <c r="H21" s="5">
        <v>83.625</v>
      </c>
      <c r="I21" s="9">
        <v>17</v>
      </c>
      <c r="J21" s="7">
        <v>0.82291700000000001</v>
      </c>
      <c r="K21" s="4">
        <v>690.51</v>
      </c>
      <c r="L21" s="4">
        <v>617.08299999999997</v>
      </c>
      <c r="M21" s="4">
        <v>663.95799999999997</v>
      </c>
      <c r="N21" s="6">
        <v>46.875</v>
      </c>
      <c r="O21" s="9">
        <v>229</v>
      </c>
      <c r="P21" s="9">
        <v>11</v>
      </c>
      <c r="Q21" s="7">
        <v>0.95416699999999999</v>
      </c>
      <c r="R21" s="8">
        <v>4.58333E-2</v>
      </c>
      <c r="S21" s="9">
        <v>238</v>
      </c>
      <c r="T21" s="9">
        <v>2</v>
      </c>
      <c r="U21" s="7">
        <v>0.99166699999999997</v>
      </c>
      <c r="V21" s="8">
        <v>8.3333299999999999E-3</v>
      </c>
      <c r="W21" s="9">
        <v>39</v>
      </c>
      <c r="X21" s="9">
        <v>39</v>
      </c>
      <c r="Y21" s="9">
        <v>0</v>
      </c>
      <c r="Z21" s="9">
        <v>39</v>
      </c>
      <c r="AA21" s="9">
        <v>42</v>
      </c>
      <c r="AB21" s="9">
        <v>42</v>
      </c>
      <c r="AC21" s="9">
        <v>0</v>
      </c>
      <c r="AD21" s="9">
        <v>42</v>
      </c>
      <c r="AE21" s="9">
        <v>67</v>
      </c>
      <c r="AF21" s="9">
        <v>66</v>
      </c>
      <c r="AG21" s="9">
        <v>1</v>
      </c>
      <c r="AH21" s="9">
        <v>66</v>
      </c>
      <c r="AI21" s="9">
        <v>89</v>
      </c>
      <c r="AJ21" s="9">
        <v>89</v>
      </c>
      <c r="AK21" s="9">
        <v>0</v>
      </c>
      <c r="AL21" s="9">
        <v>89</v>
      </c>
      <c r="AM21" s="9">
        <v>74</v>
      </c>
      <c r="AN21" s="4">
        <v>1.6950000000000001</v>
      </c>
      <c r="AO21" s="3">
        <v>72.3</v>
      </c>
      <c r="AP21" s="2">
        <v>25.165113425744639</v>
      </c>
      <c r="AQ21" s="2">
        <v>92</v>
      </c>
      <c r="AR21" s="9">
        <v>141</v>
      </c>
      <c r="AS21" s="9">
        <v>74</v>
      </c>
      <c r="AT21" s="2">
        <v>96.11</v>
      </c>
      <c r="AU21" s="9">
        <v>67</v>
      </c>
      <c r="AV21" s="9">
        <v>58</v>
      </c>
      <c r="AW21" t="s">
        <v>63</v>
      </c>
      <c r="AX21" t="s">
        <v>64</v>
      </c>
      <c r="AY21" s="9">
        <v>49</v>
      </c>
      <c r="AZ21" s="9">
        <v>99</v>
      </c>
      <c r="BA21" s="9">
        <v>167</v>
      </c>
      <c r="BB21" s="9">
        <v>78</v>
      </c>
      <c r="BC21" s="9">
        <v>93</v>
      </c>
      <c r="BD21" s="1"/>
      <c r="BE21" s="1"/>
      <c r="BF21" s="3">
        <v>5.4</v>
      </c>
      <c r="BG21" s="9">
        <v>92</v>
      </c>
      <c r="BH21" s="3">
        <v>2</v>
      </c>
      <c r="BI21" s="9">
        <v>1</v>
      </c>
      <c r="BJ21" s="9">
        <v>0</v>
      </c>
      <c r="BK21" s="9">
        <v>0</v>
      </c>
      <c r="BL21" s="9">
        <v>1</v>
      </c>
      <c r="BM21" s="9">
        <v>1</v>
      </c>
      <c r="BN21" s="9">
        <v>3</v>
      </c>
      <c r="BO21" s="9">
        <v>0</v>
      </c>
      <c r="BP21" s="9">
        <v>28</v>
      </c>
      <c r="BQ21" s="9">
        <v>9</v>
      </c>
    </row>
    <row r="22" spans="1:69" x14ac:dyDescent="0.25">
      <c r="A22" s="2">
        <v>28669</v>
      </c>
      <c r="B22" s="9">
        <v>1</v>
      </c>
      <c r="C22" s="9">
        <v>2</v>
      </c>
      <c r="D22" s="6">
        <v>0.98750000000000004</v>
      </c>
      <c r="E22" s="4">
        <v>545.02499999999998</v>
      </c>
      <c r="F22" s="4">
        <v>539.5</v>
      </c>
      <c r="G22" s="4">
        <v>607.75</v>
      </c>
      <c r="H22" s="5">
        <v>68.25</v>
      </c>
      <c r="I22" s="9">
        <v>5</v>
      </c>
      <c r="J22" s="7">
        <v>0.96875</v>
      </c>
      <c r="K22" s="4">
        <v>506.97500000000002</v>
      </c>
      <c r="L22" s="4">
        <v>490.7</v>
      </c>
      <c r="M22" s="4">
        <v>543.97500000000002</v>
      </c>
      <c r="N22" s="6">
        <v>53.274999999999999</v>
      </c>
      <c r="O22" s="9">
        <v>230</v>
      </c>
      <c r="P22" s="9">
        <v>10</v>
      </c>
      <c r="Q22" s="7">
        <v>0.95833299999999999</v>
      </c>
      <c r="R22" s="8">
        <v>4.1666700000000001E-2</v>
      </c>
      <c r="S22" s="9">
        <v>223</v>
      </c>
      <c r="T22" s="9">
        <v>17</v>
      </c>
      <c r="U22" s="7">
        <v>0.92916699999999997</v>
      </c>
      <c r="V22" s="8">
        <v>7.0833300000000002E-2</v>
      </c>
      <c r="W22" s="9">
        <v>27</v>
      </c>
      <c r="X22" s="9">
        <v>27</v>
      </c>
      <c r="Y22" s="9">
        <v>0</v>
      </c>
      <c r="Z22" s="9">
        <v>27</v>
      </c>
      <c r="AA22" s="9">
        <v>29</v>
      </c>
      <c r="AB22" s="9">
        <v>29</v>
      </c>
      <c r="AC22" s="9">
        <v>0</v>
      </c>
      <c r="AD22" s="9">
        <v>29</v>
      </c>
      <c r="AE22" s="9">
        <v>51</v>
      </c>
      <c r="AF22" s="9">
        <v>51</v>
      </c>
      <c r="AG22" s="9">
        <v>0</v>
      </c>
      <c r="AH22" s="9">
        <v>51</v>
      </c>
      <c r="AI22" s="9">
        <v>53</v>
      </c>
      <c r="AJ22" s="9">
        <v>53</v>
      </c>
      <c r="AK22" s="9">
        <v>0</v>
      </c>
      <c r="AL22" s="9">
        <v>53</v>
      </c>
      <c r="AM22" s="9">
        <v>72</v>
      </c>
      <c r="AN22" s="4">
        <v>1.65</v>
      </c>
      <c r="AO22" s="3">
        <v>74.8</v>
      </c>
      <c r="AP22" s="2">
        <v>27.474747474747478</v>
      </c>
      <c r="AQ22" s="2">
        <v>102.5</v>
      </c>
      <c r="AR22" s="9">
        <v>146</v>
      </c>
      <c r="AS22" s="9">
        <v>68</v>
      </c>
      <c r="AT22" s="2">
        <v>93.740000000000009</v>
      </c>
      <c r="AU22" s="9">
        <v>78</v>
      </c>
      <c r="AV22" s="9">
        <v>51</v>
      </c>
      <c r="AW22" t="s">
        <v>65</v>
      </c>
      <c r="AX22" t="s">
        <v>64</v>
      </c>
      <c r="AY22" s="9">
        <v>43</v>
      </c>
      <c r="AZ22" s="9">
        <v>72</v>
      </c>
      <c r="BA22" s="9">
        <v>142</v>
      </c>
      <c r="BB22" s="9">
        <v>204</v>
      </c>
      <c r="BC22" s="9">
        <v>94</v>
      </c>
      <c r="BD22" s="3">
        <v>43.6</v>
      </c>
      <c r="BE22" s="3">
        <v>15.3</v>
      </c>
      <c r="BF22" s="3">
        <v>5.3</v>
      </c>
      <c r="BG22" s="9">
        <v>92</v>
      </c>
      <c r="BH22" s="3">
        <v>1.8</v>
      </c>
      <c r="BI22" s="9">
        <v>1</v>
      </c>
      <c r="BJ22" s="9">
        <v>0</v>
      </c>
      <c r="BK22" s="9">
        <v>1</v>
      </c>
      <c r="BL22" s="9">
        <v>1</v>
      </c>
      <c r="BM22" s="9">
        <v>0</v>
      </c>
      <c r="BN22" s="9">
        <v>3</v>
      </c>
      <c r="BO22" s="9">
        <v>0</v>
      </c>
      <c r="BP22" s="9">
        <v>29</v>
      </c>
      <c r="BQ22" s="9">
        <v>11</v>
      </c>
    </row>
    <row r="23" spans="1:69" x14ac:dyDescent="0.25">
      <c r="A23" s="2">
        <v>28873</v>
      </c>
      <c r="B23" s="9">
        <v>2</v>
      </c>
      <c r="C23" s="9">
        <v>0</v>
      </c>
      <c r="D23" s="6">
        <v>1</v>
      </c>
      <c r="E23" s="4">
        <v>604.65599999999995</v>
      </c>
      <c r="F23" s="4">
        <v>589.83299999999997</v>
      </c>
      <c r="G23" s="4">
        <v>640.66700000000003</v>
      </c>
      <c r="H23" s="5">
        <v>50.833300000000001</v>
      </c>
      <c r="I23" s="9">
        <v>0</v>
      </c>
      <c r="J23" s="7">
        <v>1</v>
      </c>
      <c r="K23" s="4">
        <v>588.01300000000003</v>
      </c>
      <c r="L23" s="4">
        <v>586.65</v>
      </c>
      <c r="M23" s="4">
        <v>623.70000000000005</v>
      </c>
      <c r="N23" s="6">
        <v>37.049999999999997</v>
      </c>
      <c r="O23" s="9">
        <v>140</v>
      </c>
      <c r="P23" s="9">
        <v>100</v>
      </c>
      <c r="Q23" s="7">
        <v>0.58333299999999999</v>
      </c>
      <c r="R23" s="8">
        <v>0.41666700000000001</v>
      </c>
      <c r="S23" s="9">
        <v>225</v>
      </c>
      <c r="T23" s="9">
        <v>15</v>
      </c>
      <c r="U23" s="7">
        <v>0.9375</v>
      </c>
      <c r="V23" s="8">
        <v>6.25E-2</v>
      </c>
      <c r="W23" s="9">
        <v>36</v>
      </c>
      <c r="X23" s="9">
        <v>36</v>
      </c>
      <c r="Y23" s="9">
        <v>0</v>
      </c>
      <c r="Z23" s="9">
        <v>36</v>
      </c>
      <c r="AA23" s="9">
        <v>32</v>
      </c>
      <c r="AB23" s="9">
        <v>32</v>
      </c>
      <c r="AC23" s="9">
        <v>0</v>
      </c>
      <c r="AD23" s="9">
        <v>32</v>
      </c>
      <c r="AE23" s="9">
        <v>67</v>
      </c>
      <c r="AF23" s="9">
        <v>67</v>
      </c>
      <c r="AG23" s="9">
        <v>0</v>
      </c>
      <c r="AH23" s="9">
        <v>67</v>
      </c>
      <c r="AI23" s="9">
        <v>64</v>
      </c>
      <c r="AJ23" s="9">
        <v>64</v>
      </c>
      <c r="AK23" s="9">
        <v>0</v>
      </c>
      <c r="AL23" s="9">
        <v>64</v>
      </c>
      <c r="AM23" s="9">
        <v>74</v>
      </c>
      <c r="AN23" s="4">
        <v>1.7</v>
      </c>
      <c r="AO23" s="3">
        <v>79</v>
      </c>
      <c r="AP23" s="2">
        <v>27.335640138408309</v>
      </c>
      <c r="AQ23" s="2">
        <v>105.5</v>
      </c>
      <c r="AR23" s="9">
        <v>136</v>
      </c>
      <c r="AS23" s="9">
        <v>62</v>
      </c>
      <c r="AT23" s="2">
        <v>86.42</v>
      </c>
      <c r="AU23" s="9">
        <v>74</v>
      </c>
      <c r="AV23" s="9">
        <v>54</v>
      </c>
      <c r="AW23" t="s">
        <v>63</v>
      </c>
      <c r="AX23" t="s">
        <v>64</v>
      </c>
      <c r="AY23" s="9">
        <v>41</v>
      </c>
      <c r="AZ23" s="9">
        <v>350</v>
      </c>
      <c r="BA23" s="9">
        <v>444</v>
      </c>
      <c r="BB23" s="9">
        <v>226</v>
      </c>
      <c r="BC23" s="9">
        <v>105</v>
      </c>
      <c r="BD23" s="3">
        <v>42.9</v>
      </c>
      <c r="BE23" s="3">
        <v>14.6</v>
      </c>
      <c r="BF23" s="3">
        <v>5.3</v>
      </c>
      <c r="BG23" s="9">
        <v>64</v>
      </c>
      <c r="BH23" s="3">
        <v>1.9</v>
      </c>
      <c r="BI23" s="9">
        <v>1</v>
      </c>
      <c r="BJ23" s="9">
        <v>1</v>
      </c>
      <c r="BK23" s="9">
        <v>1</v>
      </c>
      <c r="BL23" s="9">
        <v>1</v>
      </c>
      <c r="BM23" s="9">
        <v>1</v>
      </c>
      <c r="BN23" s="9">
        <v>5</v>
      </c>
      <c r="BO23" s="9">
        <v>5</v>
      </c>
      <c r="BP23" s="9">
        <v>30</v>
      </c>
      <c r="BQ23" s="9">
        <v>12</v>
      </c>
    </row>
    <row r="24" spans="1:69" x14ac:dyDescent="0.25">
      <c r="A24" s="2">
        <v>28904</v>
      </c>
      <c r="B24" s="9">
        <v>1</v>
      </c>
      <c r="C24" s="9">
        <v>3</v>
      </c>
      <c r="D24" s="6">
        <v>0.98124999999999996</v>
      </c>
      <c r="E24" s="4">
        <v>531.79999999999995</v>
      </c>
      <c r="F24" s="4">
        <v>527.5</v>
      </c>
      <c r="G24" s="4">
        <v>565.6</v>
      </c>
      <c r="H24" s="5">
        <v>38.200000000000003</v>
      </c>
      <c r="I24" s="9">
        <v>1</v>
      </c>
      <c r="J24" s="7">
        <v>0.99375000000000002</v>
      </c>
      <c r="K24" s="4">
        <v>554.86199999999997</v>
      </c>
      <c r="L24" s="4">
        <v>539.6</v>
      </c>
      <c r="M24" s="4">
        <v>593.375</v>
      </c>
      <c r="N24" s="6">
        <v>53.774999999999999</v>
      </c>
      <c r="O24" s="9">
        <v>236</v>
      </c>
      <c r="P24" s="9">
        <v>4</v>
      </c>
      <c r="Q24" s="7">
        <v>0.98333000000000004</v>
      </c>
      <c r="R24" s="8">
        <v>1.677E-2</v>
      </c>
      <c r="S24" s="9">
        <v>237</v>
      </c>
      <c r="T24" s="9">
        <v>3</v>
      </c>
      <c r="U24" s="7">
        <v>0.98750000000000004</v>
      </c>
      <c r="V24" s="8">
        <v>1.2500000000000001E-2</v>
      </c>
      <c r="W24" s="9">
        <v>33</v>
      </c>
      <c r="X24" s="9">
        <v>33</v>
      </c>
      <c r="Y24" s="9">
        <v>0</v>
      </c>
      <c r="Z24" s="9">
        <v>33</v>
      </c>
      <c r="AA24" s="9">
        <v>34</v>
      </c>
      <c r="AB24" s="9">
        <v>33</v>
      </c>
      <c r="AC24" s="9">
        <v>1</v>
      </c>
      <c r="AD24" s="9">
        <v>33</v>
      </c>
      <c r="AE24" s="9">
        <v>63</v>
      </c>
      <c r="AF24" s="9">
        <v>63</v>
      </c>
      <c r="AG24" s="9">
        <v>0</v>
      </c>
      <c r="AH24" s="9">
        <v>63</v>
      </c>
      <c r="AI24" s="9">
        <v>61</v>
      </c>
      <c r="AJ24" s="9">
        <v>61</v>
      </c>
      <c r="AK24" s="9">
        <v>0</v>
      </c>
      <c r="AL24" s="9">
        <v>61</v>
      </c>
      <c r="AM24" s="9">
        <v>64</v>
      </c>
      <c r="AN24" s="4">
        <v>1.73</v>
      </c>
      <c r="AO24" s="3">
        <v>77.7</v>
      </c>
      <c r="AP24" s="2">
        <v>25.961442079588359</v>
      </c>
      <c r="AQ24" s="2">
        <v>96.5</v>
      </c>
      <c r="AR24" s="9">
        <v>128</v>
      </c>
      <c r="AS24" s="9">
        <v>74</v>
      </c>
      <c r="AT24" s="2">
        <v>91.82</v>
      </c>
      <c r="AU24" s="9">
        <v>54</v>
      </c>
      <c r="AV24" s="9">
        <v>77</v>
      </c>
      <c r="AW24" t="s">
        <v>65</v>
      </c>
      <c r="AX24" t="s">
        <v>64</v>
      </c>
      <c r="AY24" s="9">
        <v>41</v>
      </c>
      <c r="AZ24" s="9">
        <v>94</v>
      </c>
      <c r="BA24" s="9">
        <v>186</v>
      </c>
      <c r="BB24" s="9">
        <v>381</v>
      </c>
      <c r="BC24" s="9">
        <v>135</v>
      </c>
      <c r="BD24" s="3">
        <v>37.6</v>
      </c>
      <c r="BE24" s="3">
        <v>13.4</v>
      </c>
      <c r="BF24" s="3">
        <v>5.9</v>
      </c>
      <c r="BG24" s="9">
        <v>100</v>
      </c>
      <c r="BH24" s="3">
        <v>2</v>
      </c>
      <c r="BI24" s="9">
        <v>1</v>
      </c>
      <c r="BJ24" s="9">
        <v>1</v>
      </c>
      <c r="BK24" s="9">
        <v>1</v>
      </c>
      <c r="BL24" s="9">
        <v>0</v>
      </c>
      <c r="BM24" s="9">
        <v>0</v>
      </c>
      <c r="BN24" s="9">
        <v>3</v>
      </c>
      <c r="BO24" s="9">
        <v>4</v>
      </c>
      <c r="BP24" s="9">
        <v>29</v>
      </c>
      <c r="BQ24" s="9">
        <v>12</v>
      </c>
    </row>
    <row r="25" spans="1:69" x14ac:dyDescent="0.25">
      <c r="A25" s="2">
        <v>28925</v>
      </c>
      <c r="B25" s="9">
        <v>2</v>
      </c>
      <c r="C25" s="9">
        <v>0</v>
      </c>
      <c r="D25" s="6">
        <v>1</v>
      </c>
      <c r="E25" s="4">
        <v>504.2</v>
      </c>
      <c r="F25" s="4">
        <v>496.5</v>
      </c>
      <c r="G25" s="4">
        <v>536.4</v>
      </c>
      <c r="H25" s="5">
        <v>40</v>
      </c>
      <c r="I25" s="9">
        <v>4</v>
      </c>
      <c r="J25" s="7">
        <v>0.97499999999999998</v>
      </c>
      <c r="K25" s="4">
        <v>477.67500000000001</v>
      </c>
      <c r="L25" s="4">
        <v>473.27499999999998</v>
      </c>
      <c r="M25" s="4">
        <v>525.875</v>
      </c>
      <c r="N25" s="6">
        <v>52.6</v>
      </c>
      <c r="O25" s="9">
        <v>232</v>
      </c>
      <c r="P25" s="9">
        <v>8</v>
      </c>
      <c r="Q25" s="7">
        <v>0.96699999999999997</v>
      </c>
      <c r="R25" s="8">
        <v>1.7000000000000001E-2</v>
      </c>
      <c r="S25" s="9">
        <v>225</v>
      </c>
      <c r="T25" s="9">
        <v>15</v>
      </c>
      <c r="U25" s="7">
        <v>0.9375</v>
      </c>
      <c r="V25" s="8">
        <v>6.25E-2</v>
      </c>
      <c r="W25" s="9">
        <v>39</v>
      </c>
      <c r="X25" s="9">
        <v>39</v>
      </c>
      <c r="Y25" s="9">
        <v>0</v>
      </c>
      <c r="Z25" s="9">
        <v>39</v>
      </c>
      <c r="AA25" s="9">
        <v>38</v>
      </c>
      <c r="AB25" s="9">
        <v>38</v>
      </c>
      <c r="AC25" s="9">
        <v>0</v>
      </c>
      <c r="AD25" s="9">
        <v>38</v>
      </c>
      <c r="AE25" s="9">
        <v>84</v>
      </c>
      <c r="AF25" s="9">
        <v>84</v>
      </c>
      <c r="AG25" s="9">
        <v>0</v>
      </c>
      <c r="AH25" s="9">
        <v>84</v>
      </c>
      <c r="AI25" s="9">
        <v>90</v>
      </c>
      <c r="AJ25" s="9">
        <v>90</v>
      </c>
      <c r="AK25" s="9">
        <v>0</v>
      </c>
      <c r="AL25" s="9">
        <v>90</v>
      </c>
      <c r="AM25" s="9">
        <v>62</v>
      </c>
      <c r="AN25" s="4">
        <v>1.7250000000000001</v>
      </c>
      <c r="AO25" s="3">
        <v>85</v>
      </c>
      <c r="AP25" s="2">
        <v>28.565427431211926</v>
      </c>
      <c r="AQ25" s="2">
        <v>102</v>
      </c>
      <c r="AR25" s="9">
        <v>143</v>
      </c>
      <c r="AS25" s="9">
        <v>88</v>
      </c>
      <c r="AT25" s="2">
        <v>106.15</v>
      </c>
      <c r="AU25" s="9">
        <v>55</v>
      </c>
      <c r="AV25" s="9">
        <v>72</v>
      </c>
      <c r="AW25" t="s">
        <v>63</v>
      </c>
      <c r="AX25" t="s">
        <v>64</v>
      </c>
      <c r="AY25" s="9">
        <v>57</v>
      </c>
      <c r="AZ25" s="9">
        <v>97</v>
      </c>
      <c r="BA25" s="9">
        <v>183</v>
      </c>
      <c r="BB25" s="9">
        <v>191</v>
      </c>
      <c r="BC25" s="9">
        <v>101</v>
      </c>
      <c r="BD25" s="3">
        <v>43.4</v>
      </c>
      <c r="BE25" s="3">
        <v>14.8</v>
      </c>
      <c r="BF25" s="3">
        <v>5.6</v>
      </c>
      <c r="BG25" s="9">
        <v>94</v>
      </c>
      <c r="BH25" s="3">
        <v>2</v>
      </c>
      <c r="BI25" s="9">
        <v>1</v>
      </c>
      <c r="BJ25" s="9">
        <v>1</v>
      </c>
      <c r="BK25" s="9">
        <v>1</v>
      </c>
      <c r="BL25" s="9">
        <v>1</v>
      </c>
      <c r="BM25" s="9">
        <v>0</v>
      </c>
      <c r="BN25" s="9">
        <v>4</v>
      </c>
      <c r="BO25" s="9">
        <v>3</v>
      </c>
      <c r="BP25" s="9">
        <v>29</v>
      </c>
      <c r="BQ25" s="9">
        <v>11</v>
      </c>
    </row>
    <row r="27" spans="1:69" x14ac:dyDescent="0.25">
      <c r="A27" s="11" t="s">
        <v>85</v>
      </c>
    </row>
    <row r="28" spans="1:69" x14ac:dyDescent="0.25">
      <c r="C28" s="18" t="s">
        <v>96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69" x14ac:dyDescent="0.25">
      <c r="A29" t="s">
        <v>0</v>
      </c>
      <c r="B29" t="s">
        <v>1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  <c r="I29" t="s">
        <v>74</v>
      </c>
      <c r="J29" t="s">
        <v>75</v>
      </c>
      <c r="K29" t="s">
        <v>76</v>
      </c>
      <c r="L29" t="s">
        <v>77</v>
      </c>
      <c r="M29" t="s">
        <v>78</v>
      </c>
      <c r="N29" t="s">
        <v>79</v>
      </c>
    </row>
    <row r="30" spans="1:69" x14ac:dyDescent="0.25">
      <c r="A30" s="2">
        <v>12625</v>
      </c>
      <c r="B30" s="9">
        <v>2</v>
      </c>
      <c r="C30" s="9">
        <f t="shared" ref="C30:H30" si="0">I4-C4</f>
        <v>0</v>
      </c>
      <c r="D30" s="7">
        <f t="shared" si="0"/>
        <v>4.1670000000000318E-3</v>
      </c>
      <c r="E30" s="4">
        <f t="shared" si="0"/>
        <v>6.5599999999999454</v>
      </c>
      <c r="F30" s="4">
        <f t="shared" si="0"/>
        <v>-3.5919999999999845</v>
      </c>
      <c r="G30" s="4">
        <f t="shared" si="0"/>
        <v>29.692000000000007</v>
      </c>
      <c r="H30" s="6">
        <f t="shared" si="0"/>
        <v>33.283299999999997</v>
      </c>
      <c r="I30" s="9">
        <f>S4-O4</f>
        <v>-1</v>
      </c>
      <c r="J30" s="9">
        <f>T4-P4</f>
        <v>1</v>
      </c>
      <c r="K30" s="7">
        <f>U4-Q4</f>
        <v>-4.0000000000000036E-3</v>
      </c>
      <c r="L30" s="8">
        <f>V4-R4</f>
        <v>4.167000000000004E-3</v>
      </c>
      <c r="M30" s="9">
        <f>AD4-Z4</f>
        <v>3</v>
      </c>
      <c r="N30" s="9">
        <f>AL4-AH4</f>
        <v>-2</v>
      </c>
    </row>
    <row r="31" spans="1:69" x14ac:dyDescent="0.25">
      <c r="A31" s="2">
        <v>15072</v>
      </c>
      <c r="B31" s="9">
        <v>1</v>
      </c>
      <c r="C31" s="9">
        <f t="shared" ref="C31:H31" si="1">I5-C5</f>
        <v>-3</v>
      </c>
      <c r="D31" s="7">
        <f t="shared" si="1"/>
        <v>1.8749999999999933E-2</v>
      </c>
      <c r="E31" s="4">
        <f t="shared" si="1"/>
        <v>-9.8310000000000173</v>
      </c>
      <c r="F31" s="4">
        <f t="shared" si="1"/>
        <v>-25.625000000000057</v>
      </c>
      <c r="G31" s="4">
        <f t="shared" si="1"/>
        <v>-12.275000000000091</v>
      </c>
      <c r="H31" s="6">
        <f t="shared" si="1"/>
        <v>13.350000000000001</v>
      </c>
      <c r="I31" s="9">
        <f t="shared" ref="I31:L31" si="2">S5-O5</f>
        <v>3</v>
      </c>
      <c r="J31" s="9">
        <f t="shared" si="2"/>
        <v>-3</v>
      </c>
      <c r="K31" s="7">
        <f t="shared" si="2"/>
        <v>1.2499999999999956E-2</v>
      </c>
      <c r="L31" s="8">
        <f t="shared" si="2"/>
        <v>-1.2499999999999997E-2</v>
      </c>
      <c r="M31" s="9">
        <f t="shared" ref="M31:M51" si="3">AD5-Z5</f>
        <v>0</v>
      </c>
      <c r="N31" s="9">
        <f t="shared" ref="N31:N51" si="4">AL5-AH5</f>
        <v>-1</v>
      </c>
    </row>
    <row r="32" spans="1:69" x14ac:dyDescent="0.25">
      <c r="A32" s="2">
        <v>16418</v>
      </c>
      <c r="B32" s="9">
        <v>1</v>
      </c>
      <c r="C32" s="9">
        <f t="shared" ref="C32:H32" si="5">I6-C6</f>
        <v>-5</v>
      </c>
      <c r="D32" s="7">
        <f t="shared" si="5"/>
        <v>3.125E-2</v>
      </c>
      <c r="E32" s="4">
        <f t="shared" si="5"/>
        <v>4.3120000000000118</v>
      </c>
      <c r="F32" s="4">
        <f t="shared" si="5"/>
        <v>9.1999999999999886</v>
      </c>
      <c r="G32" s="4">
        <f t="shared" si="5"/>
        <v>2.6000000000000227</v>
      </c>
      <c r="H32" s="6">
        <f t="shared" si="5"/>
        <v>-6.5999999999999943</v>
      </c>
      <c r="I32" s="9">
        <f t="shared" ref="I32:L32" si="6">S6-O6</f>
        <v>23</v>
      </c>
      <c r="J32" s="9">
        <f t="shared" si="6"/>
        <v>-23</v>
      </c>
      <c r="K32" s="7">
        <f t="shared" si="6"/>
        <v>9.5833000000000057E-2</v>
      </c>
      <c r="L32" s="8">
        <f t="shared" si="6"/>
        <v>-9.5833000000000002E-2</v>
      </c>
      <c r="M32" s="9">
        <f t="shared" si="3"/>
        <v>-12</v>
      </c>
      <c r="N32" s="9">
        <f t="shared" si="4"/>
        <v>-11</v>
      </c>
    </row>
    <row r="33" spans="1:14" x14ac:dyDescent="0.25">
      <c r="A33" s="2">
        <v>21605</v>
      </c>
      <c r="B33" s="9">
        <v>1</v>
      </c>
      <c r="C33" s="9">
        <f t="shared" ref="C33:H33" si="7">I7-C7</f>
        <v>-2</v>
      </c>
      <c r="D33" s="7">
        <f t="shared" si="7"/>
        <v>1.2499999999999956E-2</v>
      </c>
      <c r="E33" s="4">
        <f t="shared" si="7"/>
        <v>-4.4039999999999964</v>
      </c>
      <c r="F33" s="4">
        <f t="shared" si="7"/>
        <v>4.8500000000000227</v>
      </c>
      <c r="G33" s="4">
        <f t="shared" si="7"/>
        <v>-18.617000000000075</v>
      </c>
      <c r="H33" s="6">
        <f t="shared" si="7"/>
        <v>-23.466699999999996</v>
      </c>
      <c r="I33" s="9">
        <f t="shared" ref="I33:L33" si="8">S7-O7</f>
        <v>6</v>
      </c>
      <c r="J33" s="9">
        <f t="shared" si="8"/>
        <v>-6</v>
      </c>
      <c r="K33" s="7">
        <f t="shared" si="8"/>
        <v>2.5000000000000022E-2</v>
      </c>
      <c r="L33" s="8">
        <f t="shared" si="8"/>
        <v>-2.5000000000000001E-2</v>
      </c>
      <c r="M33" s="9">
        <f t="shared" si="3"/>
        <v>6</v>
      </c>
      <c r="N33" s="9">
        <f t="shared" si="4"/>
        <v>-5</v>
      </c>
    </row>
    <row r="34" spans="1:14" x14ac:dyDescent="0.25">
      <c r="A34" s="2">
        <v>22060</v>
      </c>
      <c r="B34" s="9">
        <v>2</v>
      </c>
      <c r="C34" s="9">
        <f t="shared" ref="C34:H34" si="9">I8-C8</f>
        <v>4</v>
      </c>
      <c r="D34" s="7">
        <f t="shared" si="9"/>
        <v>-0.10833300000000001</v>
      </c>
      <c r="E34" s="4">
        <f t="shared" si="9"/>
        <v>-91.572999999999979</v>
      </c>
      <c r="F34" s="4">
        <f t="shared" si="9"/>
        <v>-82.358000000000004</v>
      </c>
      <c r="G34" s="4">
        <f t="shared" si="9"/>
        <v>-136.54199999999997</v>
      </c>
      <c r="H34" s="6">
        <f t="shared" si="9"/>
        <v>-54.183329999999998</v>
      </c>
      <c r="I34" s="9">
        <f t="shared" ref="I34:L34" si="10">S8-O8</f>
        <v>-10</v>
      </c>
      <c r="J34" s="9">
        <f t="shared" si="10"/>
        <v>10</v>
      </c>
      <c r="K34" s="7">
        <f t="shared" si="10"/>
        <v>-4.1332999999999953E-2</v>
      </c>
      <c r="L34" s="8">
        <f t="shared" si="10"/>
        <v>4.1333000000000009E-2</v>
      </c>
      <c r="M34" s="9">
        <f t="shared" si="3"/>
        <v>0</v>
      </c>
      <c r="N34" s="9">
        <f t="shared" si="4"/>
        <v>1</v>
      </c>
    </row>
    <row r="35" spans="1:14" x14ac:dyDescent="0.25">
      <c r="A35" s="2">
        <v>24465</v>
      </c>
      <c r="B35" s="9">
        <v>1</v>
      </c>
      <c r="C35" s="9">
        <f t="shared" ref="C35:H35" si="11">I9-C9</f>
        <v>2</v>
      </c>
      <c r="D35" s="7">
        <f t="shared" si="11"/>
        <v>-1.2499999999999956E-2</v>
      </c>
      <c r="E35" s="4">
        <f t="shared" si="11"/>
        <v>-66.379000000000019</v>
      </c>
      <c r="F35" s="4">
        <f t="shared" si="11"/>
        <v>-61.024999999999977</v>
      </c>
      <c r="G35" s="4">
        <f t="shared" si="11"/>
        <v>-84.317000000000007</v>
      </c>
      <c r="H35" s="6">
        <f t="shared" si="11"/>
        <v>-23.292000000000002</v>
      </c>
      <c r="I35" s="9">
        <f t="shared" ref="I35:L35" si="12">S9-O9</f>
        <v>7</v>
      </c>
      <c r="J35" s="9">
        <f t="shared" si="12"/>
        <v>-7</v>
      </c>
      <c r="K35" s="7">
        <f t="shared" si="12"/>
        <v>2.9167000000000054E-2</v>
      </c>
      <c r="L35" s="8">
        <f t="shared" si="12"/>
        <v>-2.91667E-2</v>
      </c>
      <c r="M35" s="9">
        <f t="shared" si="3"/>
        <v>3</v>
      </c>
      <c r="N35" s="9">
        <f t="shared" si="4"/>
        <v>3</v>
      </c>
    </row>
    <row r="36" spans="1:14" x14ac:dyDescent="0.25">
      <c r="A36" s="2">
        <v>24687</v>
      </c>
      <c r="B36" s="9">
        <v>2</v>
      </c>
      <c r="C36" s="9">
        <f t="shared" ref="C36:H36" si="13">I10-C10</f>
        <v>-3</v>
      </c>
      <c r="D36" s="7">
        <f t="shared" si="13"/>
        <v>1.8750000000000044E-2</v>
      </c>
      <c r="E36" s="4">
        <f t="shared" si="13"/>
        <v>-28.992999999999938</v>
      </c>
      <c r="F36" s="4">
        <f t="shared" si="13"/>
        <v>-40.225000000000023</v>
      </c>
      <c r="G36" s="4">
        <f t="shared" si="13"/>
        <v>-27.549999999999955</v>
      </c>
      <c r="H36" s="6">
        <f t="shared" si="13"/>
        <v>12.674999999999997</v>
      </c>
      <c r="I36" s="9">
        <f t="shared" ref="I36:L36" si="14">S10-O10</f>
        <v>12</v>
      </c>
      <c r="J36" s="9">
        <f t="shared" si="14"/>
        <v>-12</v>
      </c>
      <c r="K36" s="7">
        <f t="shared" si="14"/>
        <v>5.0000000000000044E-2</v>
      </c>
      <c r="L36" s="8">
        <f t="shared" si="14"/>
        <v>-0.05</v>
      </c>
      <c r="M36" s="9">
        <f t="shared" si="3"/>
        <v>0</v>
      </c>
      <c r="N36" s="9">
        <f t="shared" si="4"/>
        <v>-3</v>
      </c>
    </row>
    <row r="37" spans="1:14" x14ac:dyDescent="0.25">
      <c r="A37" s="2">
        <v>25121</v>
      </c>
      <c r="B37" s="9">
        <v>2</v>
      </c>
      <c r="C37" s="9">
        <f t="shared" ref="C37:H37" si="15">I11-C11</f>
        <v>-1</v>
      </c>
      <c r="D37" s="7">
        <f t="shared" si="15"/>
        <v>6.2499999999999778E-3</v>
      </c>
      <c r="E37" s="4">
        <f t="shared" si="15"/>
        <v>-41.918999999999983</v>
      </c>
      <c r="F37" s="4">
        <f t="shared" si="15"/>
        <v>-38.100000000000023</v>
      </c>
      <c r="G37" s="4">
        <f t="shared" si="15"/>
        <v>-68.225000000000023</v>
      </c>
      <c r="H37" s="6">
        <f t="shared" si="15"/>
        <v>-30.125000000000004</v>
      </c>
      <c r="I37" s="9">
        <f t="shared" ref="I37:L37" si="16">S11-O11</f>
        <v>8</v>
      </c>
      <c r="J37" s="9">
        <f t="shared" si="16"/>
        <v>-28</v>
      </c>
      <c r="K37" s="7">
        <f t="shared" si="16"/>
        <v>3.3334000000000086E-2</v>
      </c>
      <c r="L37" s="8">
        <f t="shared" si="16"/>
        <v>-3.3333700000000008E-2</v>
      </c>
      <c r="M37" s="9">
        <f t="shared" si="3"/>
        <v>14</v>
      </c>
      <c r="N37" s="9">
        <f t="shared" si="4"/>
        <v>3</v>
      </c>
    </row>
    <row r="38" spans="1:14" x14ac:dyDescent="0.25">
      <c r="A38" s="2">
        <v>25463</v>
      </c>
      <c r="B38" s="9">
        <v>2</v>
      </c>
      <c r="C38" s="9">
        <f t="shared" ref="C38:H38" si="17">I12-C12</f>
        <v>-3</v>
      </c>
      <c r="D38" s="7">
        <f t="shared" si="17"/>
        <v>1.8749999999999933E-2</v>
      </c>
      <c r="E38" s="4">
        <f t="shared" si="17"/>
        <v>0.20599999999990359</v>
      </c>
      <c r="F38" s="4">
        <f t="shared" si="17"/>
        <v>-6.6000000000000227</v>
      </c>
      <c r="G38" s="4">
        <f t="shared" si="17"/>
        <v>-3.7749999999999773</v>
      </c>
      <c r="H38" s="6">
        <f t="shared" si="17"/>
        <v>2.8250000000000028</v>
      </c>
      <c r="I38" s="9">
        <f t="shared" ref="I38:L38" si="18">S12-O12</f>
        <v>4</v>
      </c>
      <c r="J38" s="9">
        <f t="shared" si="18"/>
        <v>-4</v>
      </c>
      <c r="K38" s="7">
        <f t="shared" si="18"/>
        <v>1.6667000000000098E-2</v>
      </c>
      <c r="L38" s="8">
        <f t="shared" si="18"/>
        <v>-1.66667E-2</v>
      </c>
      <c r="M38" s="9">
        <f t="shared" si="3"/>
        <v>0</v>
      </c>
      <c r="N38" s="9">
        <f t="shared" si="4"/>
        <v>9</v>
      </c>
    </row>
    <row r="39" spans="1:14" x14ac:dyDescent="0.25">
      <c r="A39" s="2">
        <v>25724</v>
      </c>
      <c r="B39" s="9">
        <v>1</v>
      </c>
      <c r="C39" s="9">
        <f t="shared" ref="C39:H39" si="19">I13-C13</f>
        <v>-1</v>
      </c>
      <c r="D39" s="7">
        <f t="shared" si="19"/>
        <v>6.0000000000000053E-3</v>
      </c>
      <c r="E39" s="4">
        <f t="shared" si="19"/>
        <v>3.6879999999999882</v>
      </c>
      <c r="F39" s="4">
        <f t="shared" si="19"/>
        <v>-21.549999999999955</v>
      </c>
      <c r="G39" s="4">
        <f t="shared" si="19"/>
        <v>8.0749999999999318</v>
      </c>
      <c r="H39" s="6">
        <f t="shared" si="19"/>
        <v>29.625</v>
      </c>
      <c r="I39" s="9">
        <f t="shared" ref="I39:L39" si="20">S13-O13</f>
        <v>13</v>
      </c>
      <c r="J39" s="9">
        <f t="shared" si="20"/>
        <v>-13</v>
      </c>
      <c r="K39" s="7">
        <f t="shared" si="20"/>
        <v>5.4166999999999965E-2</v>
      </c>
      <c r="L39" s="8">
        <f t="shared" si="20"/>
        <v>-5.4166700000000005E-2</v>
      </c>
      <c r="M39" s="9">
        <f t="shared" si="3"/>
        <v>-8</v>
      </c>
      <c r="N39" s="9">
        <f t="shared" si="4"/>
        <v>5</v>
      </c>
    </row>
    <row r="40" spans="1:14" x14ac:dyDescent="0.25">
      <c r="A40" s="2">
        <v>28226</v>
      </c>
      <c r="B40" s="9">
        <v>1</v>
      </c>
      <c r="C40" s="9">
        <f t="shared" ref="C40:H40" si="21">I14-C14</f>
        <v>-1</v>
      </c>
      <c r="D40" s="7">
        <f t="shared" si="21"/>
        <v>6.2499999999999778E-3</v>
      </c>
      <c r="E40" s="4">
        <f t="shared" si="21"/>
        <v>-14.293999999999983</v>
      </c>
      <c r="F40" s="4">
        <f t="shared" si="21"/>
        <v>-9.6499999999999773</v>
      </c>
      <c r="G40" s="4">
        <f t="shared" si="21"/>
        <v>-8.0750000000000455</v>
      </c>
      <c r="H40" s="6">
        <f t="shared" si="21"/>
        <v>1.5750000000000028</v>
      </c>
      <c r="I40" s="9">
        <f t="shared" ref="I40:L40" si="22">S14-O14</f>
        <v>-3</v>
      </c>
      <c r="J40" s="9">
        <f t="shared" si="22"/>
        <v>3</v>
      </c>
      <c r="K40" s="7">
        <f t="shared" si="22"/>
        <v>-1.2499999999999956E-2</v>
      </c>
      <c r="L40" s="8">
        <f t="shared" si="22"/>
        <v>1.2499670000000001E-2</v>
      </c>
      <c r="M40" s="9">
        <f t="shared" si="3"/>
        <v>-9</v>
      </c>
      <c r="N40" s="9">
        <f t="shared" si="4"/>
        <v>0</v>
      </c>
    </row>
    <row r="41" spans="1:14" x14ac:dyDescent="0.25">
      <c r="A41" s="2">
        <v>28474</v>
      </c>
      <c r="B41" s="9">
        <v>2</v>
      </c>
      <c r="C41" s="9">
        <f t="shared" ref="C41:H41" si="23">I15-C15</f>
        <v>5</v>
      </c>
      <c r="D41" s="7">
        <f t="shared" si="23"/>
        <v>-3.125E-2</v>
      </c>
      <c r="E41" s="4">
        <f t="shared" si="23"/>
        <v>-36.950000000000045</v>
      </c>
      <c r="F41" s="4">
        <f t="shared" si="23"/>
        <v>-39.125</v>
      </c>
      <c r="G41" s="4">
        <f t="shared" si="23"/>
        <v>-30.399999999999977</v>
      </c>
      <c r="H41" s="6">
        <f t="shared" si="23"/>
        <v>8.7249999999999943</v>
      </c>
      <c r="I41" s="9">
        <f t="shared" ref="I41:L41" si="24">S15-O15</f>
        <v>0</v>
      </c>
      <c r="J41" s="9">
        <f t="shared" si="24"/>
        <v>0</v>
      </c>
      <c r="K41" s="7">
        <f t="shared" si="24"/>
        <v>-1.6700000000002824E-4</v>
      </c>
      <c r="L41" s="8">
        <f t="shared" si="24"/>
        <v>1.6666999999999984E-4</v>
      </c>
      <c r="M41" s="9">
        <f t="shared" si="3"/>
        <v>6</v>
      </c>
      <c r="N41" s="9">
        <f t="shared" si="4"/>
        <v>6</v>
      </c>
    </row>
    <row r="42" spans="1:14" x14ac:dyDescent="0.25">
      <c r="A42" s="2">
        <v>28572</v>
      </c>
      <c r="B42" s="9">
        <v>2</v>
      </c>
      <c r="C42" s="9">
        <f t="shared" ref="C42:H42" si="25">I16-C16</f>
        <v>0</v>
      </c>
      <c r="D42" s="7">
        <f t="shared" si="25"/>
        <v>0</v>
      </c>
      <c r="E42" s="4">
        <f t="shared" si="25"/>
        <v>0</v>
      </c>
      <c r="F42" s="4">
        <f>L16-F16</f>
        <v>0</v>
      </c>
      <c r="G42" s="4">
        <f t="shared" si="25"/>
        <v>0</v>
      </c>
      <c r="H42" s="6">
        <f t="shared" si="25"/>
        <v>0</v>
      </c>
      <c r="I42" s="9">
        <f t="shared" ref="I42:L42" si="26">S16-O16</f>
        <v>0</v>
      </c>
      <c r="J42" s="9">
        <f t="shared" si="26"/>
        <v>0</v>
      </c>
      <c r="K42" s="7">
        <f t="shared" si="26"/>
        <v>-4.9999999999994493E-4</v>
      </c>
      <c r="L42" s="8">
        <f t="shared" si="26"/>
        <v>0</v>
      </c>
      <c r="M42" s="9">
        <f t="shared" si="3"/>
        <v>7</v>
      </c>
      <c r="N42" s="9">
        <f t="shared" si="4"/>
        <v>0</v>
      </c>
    </row>
    <row r="43" spans="1:14" x14ac:dyDescent="0.25">
      <c r="A43" s="2">
        <v>28597</v>
      </c>
      <c r="B43" s="9">
        <v>2</v>
      </c>
      <c r="C43" s="9">
        <f t="shared" ref="C43:H43" si="27">I17-C17</f>
        <v>-1</v>
      </c>
      <c r="D43" s="7">
        <f t="shared" si="27"/>
        <v>2.082999999999946E-3</v>
      </c>
      <c r="E43" s="4">
        <f t="shared" si="27"/>
        <v>-32.497999999999934</v>
      </c>
      <c r="F43" s="4">
        <f t="shared" si="27"/>
        <v>-34.442000000000007</v>
      </c>
      <c r="G43" s="4">
        <f t="shared" si="27"/>
        <v>-36.575000000000045</v>
      </c>
      <c r="H43" s="6">
        <f t="shared" si="27"/>
        <v>-2.1332999999999984</v>
      </c>
      <c r="I43" s="9">
        <f t="shared" ref="I43:L43" si="28">S17-O17</f>
        <v>13</v>
      </c>
      <c r="J43" s="9">
        <f t="shared" si="28"/>
        <v>-13</v>
      </c>
      <c r="K43" s="7">
        <f t="shared" si="28"/>
        <v>5.3999999999999937E-2</v>
      </c>
      <c r="L43" s="8">
        <f t="shared" si="28"/>
        <v>-5.3999999999999999E-2</v>
      </c>
      <c r="M43" s="9">
        <f t="shared" si="3"/>
        <v>2</v>
      </c>
      <c r="N43" s="9">
        <f t="shared" si="4"/>
        <v>9</v>
      </c>
    </row>
    <row r="44" spans="1:14" x14ac:dyDescent="0.25">
      <c r="A44" s="2">
        <v>28608</v>
      </c>
      <c r="B44" s="9">
        <v>1</v>
      </c>
      <c r="C44" s="9">
        <f t="shared" ref="C44:H44" si="29">I18-C18</f>
        <v>0</v>
      </c>
      <c r="D44" s="7">
        <f t="shared" si="29"/>
        <v>0</v>
      </c>
      <c r="E44" s="4">
        <f t="shared" si="29"/>
        <v>-47.20599999999996</v>
      </c>
      <c r="F44" s="4">
        <f t="shared" si="29"/>
        <v>-43.125</v>
      </c>
      <c r="G44" s="4">
        <f t="shared" si="29"/>
        <v>-54.825000000000045</v>
      </c>
      <c r="H44" s="6">
        <f t="shared" si="29"/>
        <v>-11.699999999999989</v>
      </c>
      <c r="I44" s="9">
        <f t="shared" ref="I44:L44" si="30">S18-O18</f>
        <v>12</v>
      </c>
      <c r="J44" s="9">
        <f t="shared" si="30"/>
        <v>-12</v>
      </c>
      <c r="K44" s="7">
        <f t="shared" si="30"/>
        <v>4.9667000000000017E-2</v>
      </c>
      <c r="L44" s="8">
        <f t="shared" si="30"/>
        <v>-4.9666670000000003E-2</v>
      </c>
      <c r="M44" s="9">
        <f t="shared" si="3"/>
        <v>3</v>
      </c>
      <c r="N44" s="9">
        <f t="shared" si="4"/>
        <v>9</v>
      </c>
    </row>
    <row r="45" spans="1:14" x14ac:dyDescent="0.25">
      <c r="A45" s="2">
        <v>28609</v>
      </c>
      <c r="B45" s="9">
        <v>1</v>
      </c>
      <c r="C45" s="9">
        <f t="shared" ref="C45:H45" si="31">I19-C19</f>
        <v>0</v>
      </c>
      <c r="D45" s="7">
        <f t="shared" si="31"/>
        <v>0</v>
      </c>
      <c r="E45" s="4">
        <f t="shared" si="31"/>
        <v>0</v>
      </c>
      <c r="F45" s="4">
        <f t="shared" si="31"/>
        <v>0</v>
      </c>
      <c r="G45" s="4">
        <f t="shared" si="31"/>
        <v>-9.9750000000000227</v>
      </c>
      <c r="H45" s="6">
        <f t="shared" si="31"/>
        <v>2.5000000000005684E-2</v>
      </c>
      <c r="I45" s="9">
        <f t="shared" ref="I45:L45" si="32">S19-O19</f>
        <v>2</v>
      </c>
      <c r="J45" s="9">
        <f t="shared" si="32"/>
        <v>-2</v>
      </c>
      <c r="K45" s="7">
        <f t="shared" si="32"/>
        <v>8.0000000000000071E-3</v>
      </c>
      <c r="L45" s="8">
        <f t="shared" si="32"/>
        <v>-8.0000000000000002E-3</v>
      </c>
      <c r="M45" s="9">
        <f t="shared" si="3"/>
        <v>4</v>
      </c>
      <c r="N45" s="9">
        <f t="shared" si="4"/>
        <v>8</v>
      </c>
    </row>
    <row r="46" spans="1:14" x14ac:dyDescent="0.25">
      <c r="A46" s="2">
        <v>28632</v>
      </c>
      <c r="B46" s="9">
        <v>2</v>
      </c>
      <c r="C46" s="9">
        <f t="shared" ref="C46:H46" si="33">I20-C20</f>
        <v>4</v>
      </c>
      <c r="D46" s="7">
        <f t="shared" si="33"/>
        <v>-2.4999999999999911E-2</v>
      </c>
      <c r="E46" s="4">
        <f t="shared" si="33"/>
        <v>-50.081999999999937</v>
      </c>
      <c r="F46" s="4">
        <f t="shared" si="33"/>
        <v>-28.5</v>
      </c>
      <c r="G46" s="4">
        <f t="shared" si="33"/>
        <v>-73.149999999999977</v>
      </c>
      <c r="H46" s="6">
        <f t="shared" si="33"/>
        <v>-44.649999999999991</v>
      </c>
      <c r="I46" s="9">
        <f t="shared" ref="I46:L46" si="34">S20-O20</f>
        <v>-2</v>
      </c>
      <c r="J46" s="9">
        <f t="shared" si="34"/>
        <v>2</v>
      </c>
      <c r="K46" s="7">
        <f t="shared" si="34"/>
        <v>-8.3329999999999238E-3</v>
      </c>
      <c r="L46" s="8">
        <f t="shared" si="34"/>
        <v>0.87083299999999997</v>
      </c>
      <c r="M46" s="9">
        <f t="shared" si="3"/>
        <v>0</v>
      </c>
      <c r="N46" s="9">
        <f t="shared" si="4"/>
        <v>-15</v>
      </c>
    </row>
    <row r="47" spans="1:14" x14ac:dyDescent="0.25">
      <c r="A47" s="2">
        <v>28664</v>
      </c>
      <c r="B47" s="9">
        <v>2</v>
      </c>
      <c r="C47" s="9">
        <f t="shared" ref="C47:H47" si="35">I21-C21</f>
        <v>14</v>
      </c>
      <c r="D47" s="7">
        <f t="shared" si="35"/>
        <v>-0.15833299999999995</v>
      </c>
      <c r="E47" s="4">
        <f t="shared" si="35"/>
        <v>173.322</v>
      </c>
      <c r="F47" s="4">
        <f t="shared" si="35"/>
        <v>115.88299999999998</v>
      </c>
      <c r="G47" s="4">
        <f t="shared" si="35"/>
        <v>79.132999999999925</v>
      </c>
      <c r="H47" s="6">
        <f t="shared" si="35"/>
        <v>-36.75</v>
      </c>
      <c r="I47" s="9">
        <f t="shared" ref="I47:L47" si="36">S21-O21</f>
        <v>9</v>
      </c>
      <c r="J47" s="9">
        <f t="shared" si="36"/>
        <v>-9</v>
      </c>
      <c r="K47" s="7">
        <f t="shared" si="36"/>
        <v>3.7499999999999978E-2</v>
      </c>
      <c r="L47" s="8">
        <f t="shared" si="36"/>
        <v>-3.7499970000000001E-2</v>
      </c>
      <c r="M47" s="9">
        <f t="shared" si="3"/>
        <v>3</v>
      </c>
      <c r="N47" s="9">
        <f t="shared" si="4"/>
        <v>23</v>
      </c>
    </row>
    <row r="48" spans="1:14" x14ac:dyDescent="0.25">
      <c r="A48" s="2">
        <v>28669</v>
      </c>
      <c r="B48" s="9">
        <v>1</v>
      </c>
      <c r="C48" s="9">
        <f t="shared" ref="C48:H48" si="37">I22-C22</f>
        <v>3</v>
      </c>
      <c r="D48" s="7">
        <f t="shared" si="37"/>
        <v>-1.8750000000000044E-2</v>
      </c>
      <c r="E48" s="4">
        <f t="shared" si="37"/>
        <v>-38.049999999999955</v>
      </c>
      <c r="F48" s="4">
        <f t="shared" si="37"/>
        <v>-48.800000000000011</v>
      </c>
      <c r="G48" s="4">
        <f t="shared" si="37"/>
        <v>-63.774999999999977</v>
      </c>
      <c r="H48" s="6">
        <f t="shared" si="37"/>
        <v>-14.975000000000001</v>
      </c>
      <c r="I48" s="9">
        <f t="shared" ref="I48:L48" si="38">S22-O22</f>
        <v>-7</v>
      </c>
      <c r="J48" s="9">
        <f t="shared" si="38"/>
        <v>7</v>
      </c>
      <c r="K48" s="7">
        <f t="shared" si="38"/>
        <v>-2.9166000000000025E-2</v>
      </c>
      <c r="L48" s="8">
        <f t="shared" si="38"/>
        <v>2.9166600000000001E-2</v>
      </c>
      <c r="M48" s="9">
        <f t="shared" si="3"/>
        <v>2</v>
      </c>
      <c r="N48" s="9">
        <f t="shared" si="4"/>
        <v>2</v>
      </c>
    </row>
    <row r="49" spans="1:14" x14ac:dyDescent="0.25">
      <c r="A49" s="2">
        <v>28873</v>
      </c>
      <c r="B49" s="9">
        <v>2</v>
      </c>
      <c r="C49" s="9">
        <f t="shared" ref="C49:H49" si="39">I23-C23</f>
        <v>0</v>
      </c>
      <c r="D49" s="7">
        <f t="shared" si="39"/>
        <v>0</v>
      </c>
      <c r="E49" s="4">
        <f t="shared" si="39"/>
        <v>-16.642999999999915</v>
      </c>
      <c r="F49" s="4">
        <f t="shared" si="39"/>
        <v>-3.1829999999999927</v>
      </c>
      <c r="G49" s="4">
        <f t="shared" si="39"/>
        <v>-16.966999999999985</v>
      </c>
      <c r="H49" s="6">
        <f t="shared" si="39"/>
        <v>-13.783300000000004</v>
      </c>
      <c r="I49" s="9">
        <f t="shared" ref="I49:L49" si="40">S23-O23</f>
        <v>85</v>
      </c>
      <c r="J49" s="9">
        <f t="shared" si="40"/>
        <v>-85</v>
      </c>
      <c r="K49" s="7">
        <f t="shared" si="40"/>
        <v>0.35416700000000001</v>
      </c>
      <c r="L49" s="8">
        <f t="shared" si="40"/>
        <v>-0.35416700000000001</v>
      </c>
      <c r="M49" s="9">
        <f t="shared" si="3"/>
        <v>-4</v>
      </c>
      <c r="N49" s="9">
        <f t="shared" si="4"/>
        <v>-3</v>
      </c>
    </row>
    <row r="50" spans="1:14" x14ac:dyDescent="0.25">
      <c r="A50" s="2">
        <v>28904</v>
      </c>
      <c r="B50" s="9">
        <v>1</v>
      </c>
      <c r="C50" s="9">
        <f t="shared" ref="C50:H50" si="41">I24-C24</f>
        <v>-2</v>
      </c>
      <c r="D50" s="7">
        <f t="shared" si="41"/>
        <v>1.2500000000000067E-2</v>
      </c>
      <c r="E50" s="4">
        <f t="shared" si="41"/>
        <v>23.062000000000012</v>
      </c>
      <c r="F50" s="4">
        <f t="shared" si="41"/>
        <v>12.100000000000023</v>
      </c>
      <c r="G50" s="4">
        <f t="shared" si="41"/>
        <v>27.774999999999977</v>
      </c>
      <c r="H50" s="6">
        <f t="shared" si="41"/>
        <v>15.574999999999996</v>
      </c>
      <c r="I50" s="9">
        <f t="shared" ref="I50:L50" si="42">S24-O24</f>
        <v>1</v>
      </c>
      <c r="J50" s="9">
        <f t="shared" si="42"/>
        <v>-1</v>
      </c>
      <c r="K50" s="7">
        <f t="shared" si="42"/>
        <v>4.170000000000007E-3</v>
      </c>
      <c r="L50" s="8">
        <f t="shared" si="42"/>
        <v>-4.2699999999999995E-3</v>
      </c>
      <c r="M50" s="9">
        <f t="shared" si="3"/>
        <v>0</v>
      </c>
      <c r="N50" s="9">
        <f t="shared" si="4"/>
        <v>-2</v>
      </c>
    </row>
    <row r="51" spans="1:14" x14ac:dyDescent="0.25">
      <c r="A51" s="2">
        <v>28925</v>
      </c>
      <c r="B51" s="9">
        <v>2</v>
      </c>
      <c r="C51" s="9">
        <f t="shared" ref="C51:H51" si="43">I25-C25</f>
        <v>4</v>
      </c>
      <c r="D51" s="7">
        <f t="shared" si="43"/>
        <v>-2.5000000000000022E-2</v>
      </c>
      <c r="E51" s="4">
        <f t="shared" si="43"/>
        <v>-26.524999999999977</v>
      </c>
      <c r="F51" s="4">
        <f t="shared" si="43"/>
        <v>-23.225000000000023</v>
      </c>
      <c r="G51" s="4">
        <f t="shared" si="43"/>
        <v>-10.524999999999977</v>
      </c>
      <c r="H51" s="6">
        <f t="shared" si="43"/>
        <v>12.600000000000001</v>
      </c>
      <c r="I51" s="9">
        <f t="shared" ref="I51:L51" si="44">S25-O25</f>
        <v>-7</v>
      </c>
      <c r="J51" s="9">
        <f t="shared" si="44"/>
        <v>7</v>
      </c>
      <c r="K51" s="7">
        <f t="shared" si="44"/>
        <v>-2.9499999999999971E-2</v>
      </c>
      <c r="L51" s="8">
        <f t="shared" si="44"/>
        <v>4.5499999999999999E-2</v>
      </c>
      <c r="M51" s="9">
        <f t="shared" si="3"/>
        <v>-1</v>
      </c>
      <c r="N51" s="9">
        <f t="shared" si="4"/>
        <v>6</v>
      </c>
    </row>
  </sheetData>
  <mergeCells count="10">
    <mergeCell ref="C28:N28"/>
    <mergeCell ref="AA2:AD2"/>
    <mergeCell ref="AE2:AH2"/>
    <mergeCell ref="AI2:AL2"/>
    <mergeCell ref="AM2:BQ2"/>
    <mergeCell ref="C2:H2"/>
    <mergeCell ref="I2:N2"/>
    <mergeCell ref="O2:R2"/>
    <mergeCell ref="S2:V2"/>
    <mergeCell ref="W2:Z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COG data V2 and V5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Gosalia, Jigar</cp:lastModifiedBy>
  <dcterms:created xsi:type="dcterms:W3CDTF">2011-08-01T14:22:18Z</dcterms:created>
  <dcterms:modified xsi:type="dcterms:W3CDTF">2026-02-27T00:53:48Z</dcterms:modified>
</cp:coreProperties>
</file>