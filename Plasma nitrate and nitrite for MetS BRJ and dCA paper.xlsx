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lucdenver-my.sharepoint.com/personal/jigar_gosalia_cuanschutz_edu/Documents/Documents/PSU things/MetS BRJ paper/"/>
    </mc:Choice>
  </mc:AlternateContent>
  <xr:revisionPtr revIDLastSave="13" documentId="8_{F5577F7A-4AFD-4757-A723-E5DCB092AC34}" xr6:coauthVersionLast="47" xr6:coauthVersionMax="47" xr10:uidLastSave="{94BEA8EA-EEDB-4A61-9EEA-81AEC09E9186}"/>
  <bookViews>
    <workbookView xWindow="-120" yWindow="-120" windowWidth="29040" windowHeight="15720" activeTab="1" xr2:uid="{D3AB0F80-B370-4608-87ED-DC5C17828CF5}"/>
  </bookViews>
  <sheets>
    <sheet name="Nitrate" sheetId="4" r:id="rId1"/>
    <sheet name="Nitrit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5" l="1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3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</calcChain>
</file>

<file path=xl/sharedStrings.xml><?xml version="1.0" encoding="utf-8"?>
<sst xmlns="http://schemas.openxmlformats.org/spreadsheetml/2006/main" count="8" uniqueCount="7">
  <si>
    <t>Participant ID</t>
  </si>
  <si>
    <t>V2</t>
  </si>
  <si>
    <t>V5</t>
  </si>
  <si>
    <t>delta no2</t>
  </si>
  <si>
    <t>delta no3</t>
  </si>
  <si>
    <t>Baseline</t>
  </si>
  <si>
    <t>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</si>
</sst>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23B0-1CBD-4570-A9C7-A829E504D4B1}">
  <dimension ref="B1:D24"/>
  <sheetViews>
    <sheetView workbookViewId="0">
      <selection activeCell="N19" sqref="N19"/>
    </sheetView>
  </sheetViews>
  <sheetFormatPr defaultColWidth="8.85546875" defaultRowHeight="15" x14ac:dyDescent="0.25"/>
  <cols>
    <col min="2" max="4" width="17.85546875" customWidth="1"/>
  </cols>
  <sheetData>
    <row r="1" spans="2:4" ht="15.75" thickBot="1" x14ac:dyDescent="0.3"/>
    <row r="2" spans="2:4" ht="16.5" thickBot="1" x14ac:dyDescent="0.3">
      <c r="B2" s="1" t="s">
        <v>0</v>
      </c>
      <c r="C2" s="3" t="s">
        <v>1</v>
      </c>
      <c r="D2" s="4" t="s">
        <v>2</v>
      </c>
    </row>
    <row r="3" spans="2:4" ht="16.5" thickBot="1" x14ac:dyDescent="0.3">
      <c r="B3" s="2">
        <v>12625</v>
      </c>
      <c r="C3" s="5">
        <v>48.526943694016687</v>
      </c>
      <c r="D3" s="6">
        <v>166.72087004380239</v>
      </c>
    </row>
    <row r="4" spans="2:4" ht="16.5" thickBot="1" x14ac:dyDescent="0.3">
      <c r="B4" s="2">
        <v>15072</v>
      </c>
      <c r="C4" s="5">
        <v>27.322568517176286</v>
      </c>
      <c r="D4" s="6">
        <v>51.010054084716423</v>
      </c>
    </row>
    <row r="5" spans="2:4" ht="16.5" thickBot="1" x14ac:dyDescent="0.3">
      <c r="B5" s="2">
        <v>16418</v>
      </c>
      <c r="C5" s="5">
        <v>61.580187673691185</v>
      </c>
      <c r="D5" s="6">
        <v>18.29393527438458</v>
      </c>
    </row>
    <row r="6" spans="2:4" ht="16.5" thickBot="1" x14ac:dyDescent="0.3">
      <c r="B6" s="2">
        <v>21605</v>
      </c>
      <c r="C6" s="5">
        <v>75.627613846457962</v>
      </c>
      <c r="D6" s="6">
        <v>78.074468617381768</v>
      </c>
    </row>
    <row r="7" spans="2:4" ht="16.5" thickBot="1" x14ac:dyDescent="0.3">
      <c r="B7" s="2">
        <v>22060</v>
      </c>
      <c r="C7" s="5">
        <v>31.520226665788115</v>
      </c>
      <c r="D7" s="6">
        <v>82.084315432237617</v>
      </c>
    </row>
    <row r="8" spans="2:4" ht="16.5" thickBot="1" x14ac:dyDescent="0.3">
      <c r="B8" s="2">
        <v>24465</v>
      </c>
      <c r="C8" s="5">
        <v>34.24889826008426</v>
      </c>
      <c r="D8" s="6">
        <v>36.812432056256277</v>
      </c>
    </row>
    <row r="9" spans="2:4" ht="16.5" thickBot="1" x14ac:dyDescent="0.3">
      <c r="B9" s="2">
        <v>24687</v>
      </c>
      <c r="C9" s="5">
        <v>38.521168522602622</v>
      </c>
      <c r="D9" s="6">
        <v>127.68467534499791</v>
      </c>
    </row>
    <row r="10" spans="2:4" ht="16.5" thickBot="1" x14ac:dyDescent="0.3">
      <c r="B10" s="2">
        <v>25121</v>
      </c>
      <c r="C10" s="5">
        <v>55.356374587695392</v>
      </c>
      <c r="D10" s="6">
        <v>108.8089205871249</v>
      </c>
    </row>
    <row r="11" spans="2:4" ht="16.5" thickBot="1" x14ac:dyDescent="0.3">
      <c r="B11" s="2">
        <v>25463</v>
      </c>
      <c r="C11" s="5">
        <v>42.571540420385965</v>
      </c>
      <c r="D11" s="6">
        <v>131.76425714201883</v>
      </c>
    </row>
    <row r="12" spans="2:4" ht="16.5" thickBot="1" x14ac:dyDescent="0.3">
      <c r="B12" s="2">
        <v>25724</v>
      </c>
      <c r="C12" s="5">
        <v>19.018337138228148</v>
      </c>
      <c r="D12" s="6">
        <v>29.908892841060535</v>
      </c>
    </row>
    <row r="13" spans="2:4" ht="16.5" thickBot="1" x14ac:dyDescent="0.3">
      <c r="B13" s="2">
        <v>28226</v>
      </c>
      <c r="C13" s="5">
        <v>20.951469180352014</v>
      </c>
      <c r="D13" s="6">
        <v>36.714638550654755</v>
      </c>
    </row>
    <row r="14" spans="2:4" ht="16.5" thickBot="1" x14ac:dyDescent="0.3">
      <c r="B14" s="2">
        <v>28474</v>
      </c>
      <c r="C14" s="5">
        <v>40.480463254018396</v>
      </c>
      <c r="D14" s="6">
        <v>69.223019226658053</v>
      </c>
    </row>
    <row r="15" spans="2:4" ht="16.5" thickBot="1" x14ac:dyDescent="0.3">
      <c r="B15" s="2">
        <v>28572</v>
      </c>
      <c r="C15" s="5">
        <v>61.568559811783672</v>
      </c>
      <c r="D15" s="6">
        <v>124.29327135196108</v>
      </c>
    </row>
    <row r="16" spans="2:4" ht="16.5" thickBot="1" x14ac:dyDescent="0.3">
      <c r="B16" s="2">
        <v>28597</v>
      </c>
      <c r="C16" s="5">
        <v>42.29150274611338</v>
      </c>
      <c r="D16" s="6">
        <v>115.14152004459788</v>
      </c>
    </row>
    <row r="17" spans="2:4" ht="16.5" thickBot="1" x14ac:dyDescent="0.3">
      <c r="B17" s="2">
        <v>28608</v>
      </c>
      <c r="C17" s="5">
        <v>46.756601718597985</v>
      </c>
      <c r="D17" s="6">
        <v>24.649867477774411</v>
      </c>
    </row>
    <row r="18" spans="2:4" ht="16.5" thickBot="1" x14ac:dyDescent="0.3">
      <c r="B18" s="2">
        <v>28609</v>
      </c>
      <c r="C18" s="5">
        <v>51.172282277975668</v>
      </c>
      <c r="D18" s="6">
        <v>26.206385233635505</v>
      </c>
    </row>
    <row r="19" spans="2:4" ht="16.5" thickBot="1" x14ac:dyDescent="0.3">
      <c r="B19" s="2">
        <v>28632</v>
      </c>
      <c r="C19" s="5">
        <v>18.904965484629905</v>
      </c>
      <c r="D19" s="6">
        <v>61.086144336753151</v>
      </c>
    </row>
    <row r="20" spans="2:4" ht="16.5" thickBot="1" x14ac:dyDescent="0.3">
      <c r="B20" s="2">
        <v>28664</v>
      </c>
      <c r="C20" s="5">
        <v>30.596780632633205</v>
      </c>
      <c r="D20" s="6">
        <v>80.211143001396394</v>
      </c>
    </row>
    <row r="21" spans="2:4" ht="16.5" thickBot="1" x14ac:dyDescent="0.3">
      <c r="B21" s="2">
        <v>28669</v>
      </c>
      <c r="C21" s="5">
        <v>16.190828717718148</v>
      </c>
      <c r="D21" s="6">
        <v>18.830935497223116</v>
      </c>
    </row>
    <row r="22" spans="2:4" ht="16.5" thickBot="1" x14ac:dyDescent="0.3">
      <c r="B22" s="2">
        <v>28873</v>
      </c>
      <c r="C22" s="5">
        <v>63.937736675439233</v>
      </c>
      <c r="D22" s="6">
        <v>50.176028310082728</v>
      </c>
    </row>
    <row r="23" spans="2:4" ht="16.5" thickBot="1" x14ac:dyDescent="0.3">
      <c r="B23" s="2">
        <v>28904</v>
      </c>
      <c r="C23" s="5">
        <v>39.177173731884757</v>
      </c>
      <c r="D23" s="6">
        <v>23.28430173990435</v>
      </c>
    </row>
    <row r="24" spans="2:4" ht="16.5" thickBot="1" x14ac:dyDescent="0.3">
      <c r="B24" s="2">
        <v>28925</v>
      </c>
      <c r="C24" s="5">
        <v>37.041523094871721</v>
      </c>
      <c r="D24" s="6">
        <v>78.394720627500078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B5A3-9BBB-4582-B277-415D69AD2F8A}">
  <dimension ref="B1:G24"/>
  <sheetViews>
    <sheetView tabSelected="1" workbookViewId="0">
      <selection activeCell="O20" sqref="O20"/>
    </sheetView>
  </sheetViews>
  <sheetFormatPr defaultColWidth="8.85546875" defaultRowHeight="15" x14ac:dyDescent="0.25"/>
  <cols>
    <col min="2" max="4" width="17.140625" customWidth="1"/>
  </cols>
  <sheetData>
    <row r="1" spans="2:7" ht="15.75" thickBot="1" x14ac:dyDescent="0.3"/>
    <row r="2" spans="2:7" ht="16.5" thickBot="1" x14ac:dyDescent="0.3">
      <c r="B2" s="1" t="s">
        <v>0</v>
      </c>
      <c r="C2" s="3" t="s">
        <v>5</v>
      </c>
      <c r="D2" s="4" t="s">
        <v>6</v>
      </c>
      <c r="F2" s="8" t="s">
        <v>3</v>
      </c>
      <c r="G2" s="8" t="s">
        <v>4</v>
      </c>
    </row>
    <row r="3" spans="2:7" ht="16.5" thickBot="1" x14ac:dyDescent="0.3">
      <c r="B3" s="2">
        <v>12625</v>
      </c>
      <c r="C3" s="5">
        <v>9.7371736918332841E-2</v>
      </c>
      <c r="D3" s="6">
        <v>0.8417910520887687</v>
      </c>
      <c r="F3" s="7">
        <f>Nitrate!D3-Nitrate!C3</f>
        <v>118.1939263497857</v>
      </c>
      <c r="G3" s="7">
        <f>D3-C3</f>
        <v>0.74441931517043591</v>
      </c>
    </row>
    <row r="4" spans="2:7" ht="16.5" thickBot="1" x14ac:dyDescent="0.3">
      <c r="B4" s="2">
        <v>15072</v>
      </c>
      <c r="C4" s="5">
        <v>7.7703935752709313E-2</v>
      </c>
      <c r="D4" s="6">
        <v>2.9477076660050696E-2</v>
      </c>
      <c r="F4" s="7">
        <f>Nitrate!D4-Nitrate!C4</f>
        <v>23.687485567540136</v>
      </c>
      <c r="G4" s="7">
        <f>D4-C4</f>
        <v>-4.8226859092658614E-2</v>
      </c>
    </row>
    <row r="5" spans="2:7" ht="16.5" thickBot="1" x14ac:dyDescent="0.3">
      <c r="B5" s="2">
        <v>16418</v>
      </c>
      <c r="C5" s="5">
        <v>9.5114776128835052E-2</v>
      </c>
      <c r="D5" s="6">
        <v>3.2077995188878702E-2</v>
      </c>
      <c r="F5" s="7">
        <f>Nitrate!D5-Nitrate!C5</f>
        <v>-43.286252399306605</v>
      </c>
      <c r="G5" s="7">
        <f>D5-C5</f>
        <v>-6.3036780939956349E-2</v>
      </c>
    </row>
    <row r="6" spans="2:7" ht="16.5" thickBot="1" x14ac:dyDescent="0.3">
      <c r="B6" s="2">
        <v>21605</v>
      </c>
      <c r="C6" s="5">
        <v>8.5764510000915672E-2</v>
      </c>
      <c r="D6" s="6">
        <v>0.14239099280512094</v>
      </c>
      <c r="F6" s="7">
        <f>Nitrate!D6-Nitrate!C6</f>
        <v>2.4468547709238067</v>
      </c>
      <c r="G6" s="7">
        <f>D6-C6</f>
        <v>5.6626482804205264E-2</v>
      </c>
    </row>
    <row r="7" spans="2:7" ht="16.5" thickBot="1" x14ac:dyDescent="0.3">
      <c r="B7" s="2">
        <v>22060</v>
      </c>
      <c r="C7" s="5">
        <v>8.1250588421920109E-2</v>
      </c>
      <c r="D7" s="6">
        <v>6.9357827435413411E-2</v>
      </c>
      <c r="F7" s="7">
        <f>Nitrate!D7-Nitrate!C7</f>
        <v>50.564088766449501</v>
      </c>
      <c r="G7" s="7">
        <f>D7-C7</f>
        <v>-1.1892760986506698E-2</v>
      </c>
    </row>
    <row r="8" spans="2:7" ht="16.5" thickBot="1" x14ac:dyDescent="0.3">
      <c r="B8" s="2">
        <v>24465</v>
      </c>
      <c r="C8" s="5">
        <v>0.11059107868539128</v>
      </c>
      <c r="D8" s="6">
        <v>8.482216130541613E-2</v>
      </c>
      <c r="F8" s="7">
        <f>Nitrate!D8-Nitrate!C8</f>
        <v>2.5635337961720168</v>
      </c>
      <c r="G8" s="7">
        <f>D8-C8</f>
        <v>-2.5768917379975151E-2</v>
      </c>
    </row>
    <row r="9" spans="2:7" ht="16.5" thickBot="1" x14ac:dyDescent="0.3">
      <c r="B9" s="2">
        <v>24687</v>
      </c>
      <c r="C9" s="5">
        <v>9.7371736918332841E-2</v>
      </c>
      <c r="D9" s="6">
        <v>7.9183519655430301E-2</v>
      </c>
      <c r="F9" s="7">
        <f>Nitrate!D9-Nitrate!C9</f>
        <v>89.163506822395291</v>
      </c>
      <c r="G9" s="7">
        <f>D9-C9</f>
        <v>-1.818821726290254E-2</v>
      </c>
    </row>
    <row r="10" spans="2:7" ht="16.5" thickBot="1" x14ac:dyDescent="0.3">
      <c r="B10" s="2">
        <v>25121</v>
      </c>
      <c r="C10" s="5">
        <v>7.705908981285281E-2</v>
      </c>
      <c r="D10" s="6">
        <v>0.2333374978871014</v>
      </c>
      <c r="F10" s="7">
        <f>Nitrate!D10-Nitrate!C10</f>
        <v>53.45254599942951</v>
      </c>
      <c r="G10" s="7">
        <f>D10-C10</f>
        <v>0.15627840807424859</v>
      </c>
    </row>
    <row r="11" spans="2:7" ht="16.5" thickBot="1" x14ac:dyDescent="0.3">
      <c r="B11" s="2">
        <v>25463</v>
      </c>
      <c r="C11" s="5">
        <v>6.0293095376583575E-2</v>
      </c>
      <c r="D11" s="6">
        <v>0.15518813888673749</v>
      </c>
      <c r="F11" s="7">
        <f>Nitrate!D11-Nitrate!C11</f>
        <v>89.192716721632877</v>
      </c>
      <c r="G11" s="7">
        <f>D11-C11</f>
        <v>9.4895043510153917E-2</v>
      </c>
    </row>
    <row r="12" spans="2:7" ht="16.5" thickBot="1" x14ac:dyDescent="0.3">
      <c r="B12" s="2">
        <v>25724</v>
      </c>
      <c r="C12" s="5">
        <v>9.350266127919378E-2</v>
      </c>
      <c r="D12" s="6">
        <v>8.5740812871900773E-2</v>
      </c>
      <c r="F12" s="7">
        <f>Nitrate!D12-Nitrate!C12</f>
        <v>10.890555702832387</v>
      </c>
      <c r="G12" s="7">
        <f>D12-C12</f>
        <v>-7.7618484072930066E-3</v>
      </c>
    </row>
    <row r="13" spans="2:7" ht="16.5" thickBot="1" x14ac:dyDescent="0.3">
      <c r="B13" s="2">
        <v>28226</v>
      </c>
      <c r="C13" s="5">
        <v>1.1475033499746576</v>
      </c>
      <c r="D13" s="6">
        <v>0.10013302074682698</v>
      </c>
      <c r="F13" s="7">
        <f>Nitrate!D13-Nitrate!C13</f>
        <v>15.763169370302741</v>
      </c>
      <c r="G13" s="7">
        <f>D13-C13</f>
        <v>-1.0473703292278307</v>
      </c>
    </row>
    <row r="14" spans="2:7" ht="16.5" thickBot="1" x14ac:dyDescent="0.3">
      <c r="B14" s="2">
        <v>28474</v>
      </c>
      <c r="C14" s="5">
        <v>7.5446974963211538E-2</v>
      </c>
      <c r="D14" s="6">
        <v>0.45075170195513553</v>
      </c>
      <c r="F14" s="7">
        <f>Nitrate!D14-Nitrate!C14</f>
        <v>28.742555972639657</v>
      </c>
      <c r="G14" s="7">
        <f>D14-C14</f>
        <v>0.37530472699192396</v>
      </c>
    </row>
    <row r="15" spans="2:7" ht="16.5" thickBot="1" x14ac:dyDescent="0.3">
      <c r="B15" s="2">
        <v>28572</v>
      </c>
      <c r="C15" s="5">
        <v>0.2115094682729349</v>
      </c>
      <c r="D15" s="6">
        <v>0.22782558848819351</v>
      </c>
      <c r="F15" s="7">
        <f>Nitrate!D15-Nitrate!C15</f>
        <v>62.72471154017741</v>
      </c>
      <c r="G15" s="7">
        <f>D15-C15</f>
        <v>1.6316120215258606E-2</v>
      </c>
    </row>
    <row r="16" spans="2:7" ht="16.5" thickBot="1" x14ac:dyDescent="0.3">
      <c r="B16" s="2">
        <v>28597</v>
      </c>
      <c r="C16" s="5">
        <v>8.5442087030987421E-2</v>
      </c>
      <c r="D16" s="6">
        <v>3.7279832246534708E-2</v>
      </c>
      <c r="F16" s="7">
        <f>Nitrate!D16-Nitrate!C16</f>
        <v>72.850017298484502</v>
      </c>
      <c r="G16" s="7">
        <f>D16-C16</f>
        <v>-4.8162254784452713E-2</v>
      </c>
    </row>
    <row r="17" spans="2:7" ht="16.5" thickBot="1" x14ac:dyDescent="0.3">
      <c r="B17" s="2">
        <v>28608</v>
      </c>
      <c r="C17" s="5">
        <v>9.7371736918332841E-2</v>
      </c>
      <c r="D17" s="6">
        <v>0.10432573210076766</v>
      </c>
      <c r="F17" s="7">
        <f>Nitrate!D17-Nitrate!C17</f>
        <v>-22.106734240823574</v>
      </c>
      <c r="G17" s="7">
        <f>D17-C17</f>
        <v>6.9539951824348217E-3</v>
      </c>
    </row>
    <row r="18" spans="2:7" ht="16.5" thickBot="1" x14ac:dyDescent="0.3">
      <c r="B18" s="2">
        <v>28609</v>
      </c>
      <c r="C18" s="5">
        <v>9.8661428798045847E-2</v>
      </c>
      <c r="D18" s="6">
        <v>5.3281790856109776E-2</v>
      </c>
      <c r="F18" s="7">
        <f>Nitrate!D18-Nitrate!C18</f>
        <v>-24.965897044340164</v>
      </c>
      <c r="G18" s="7">
        <f>D18-C18</f>
        <v>-4.5379637941936071E-2</v>
      </c>
    </row>
    <row r="19" spans="2:7" ht="16.5" thickBot="1" x14ac:dyDescent="0.3">
      <c r="B19" s="2">
        <v>28632</v>
      </c>
      <c r="C19" s="5">
        <v>0.11832922996366937</v>
      </c>
      <c r="D19" s="6">
        <v>3.9880750775362711E-2</v>
      </c>
      <c r="F19" s="7">
        <f>Nitrate!D19-Nitrate!C19</f>
        <v>42.181178852123246</v>
      </c>
      <c r="G19" s="7">
        <f>D19-C19</f>
        <v>-7.8448479188306663E-2</v>
      </c>
    </row>
    <row r="20" spans="2:7" ht="16.5" thickBot="1" x14ac:dyDescent="0.3">
      <c r="B20" s="2">
        <v>28664</v>
      </c>
      <c r="C20" s="5">
        <v>9.9306274737902364E-2</v>
      </c>
      <c r="D20" s="6">
        <v>9.3396242592606205E-2</v>
      </c>
      <c r="F20" s="7">
        <f>Nitrate!D20-Nitrate!C20</f>
        <v>49.614362368763189</v>
      </c>
      <c r="G20" s="7">
        <f>D20-C20</f>
        <v>-5.9100321452961596E-3</v>
      </c>
    </row>
    <row r="21" spans="2:7" ht="16.5" thickBot="1" x14ac:dyDescent="0.3">
      <c r="B21" s="2">
        <v>28669</v>
      </c>
      <c r="C21" s="5">
        <v>8.769904782048521E-2</v>
      </c>
      <c r="D21" s="6">
        <v>4.1951754869465743E-2</v>
      </c>
      <c r="F21" s="7">
        <f>Nitrate!D21-Nitrate!C21</f>
        <v>2.6401067795049684</v>
      </c>
      <c r="G21" s="7">
        <f>D21-C21</f>
        <v>-4.5747292951019466E-2</v>
      </c>
    </row>
    <row r="22" spans="2:7" ht="16.5" thickBot="1" x14ac:dyDescent="0.3">
      <c r="B22" s="2">
        <v>28873</v>
      </c>
      <c r="C22" s="5">
        <v>0.27083529473973372</v>
      </c>
      <c r="D22" s="6">
        <v>0.23456236664241428</v>
      </c>
      <c r="F22" s="7">
        <f>Nitrate!D22-Nitrate!C22</f>
        <v>-13.761708365356505</v>
      </c>
      <c r="G22" s="7">
        <f>D22-C22</f>
        <v>-3.627292809731944E-2</v>
      </c>
    </row>
    <row r="23" spans="2:7" ht="16.5" thickBot="1" x14ac:dyDescent="0.3">
      <c r="B23" s="2">
        <v>28904</v>
      </c>
      <c r="C23" s="5">
        <v>0.12993645688108654</v>
      </c>
      <c r="D23" s="6">
        <v>4.0747723618305379E-2</v>
      </c>
      <c r="F23" s="7">
        <f>Nitrate!D23-Nitrate!C23</f>
        <v>-15.892871991980407</v>
      </c>
      <c r="G23" s="7">
        <f>D23-C23</f>
        <v>-8.9188733262781164E-2</v>
      </c>
    </row>
    <row r="24" spans="2:7" ht="16.5" thickBot="1" x14ac:dyDescent="0.3">
      <c r="B24" s="2">
        <v>28925</v>
      </c>
      <c r="C24" s="5">
        <v>0.11542742323431508</v>
      </c>
      <c r="D24" s="6">
        <v>4.8839470152436941E-2</v>
      </c>
      <c r="F24" s="7">
        <f>Nitrate!D24-Nitrate!C24</f>
        <v>41.353197532628357</v>
      </c>
      <c r="G24" s="7">
        <f>D24-C24</f>
        <v>-6.6587953081878148E-2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Nitrate</vt:lpstr>
      <vt:lpstr>Nitrite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Stephen</dc:creator>
  <cp:lastModifiedBy>Gosalia, Jigar</cp:lastModifiedBy>
  <dcterms:created xsi:type="dcterms:W3CDTF">2024-05-03T19:17:09Z</dcterms:created>
  <dcterms:modified xsi:type="dcterms:W3CDTF">2026-02-27T00:58:07Z</dcterms:modified>
</cp:coreProperties>
</file>