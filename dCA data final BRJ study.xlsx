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5_CAR\"/>
    </mc:Choice>
  </mc:AlternateContent>
  <xr:revisionPtr revIDLastSave="0" documentId="8_{1271DE35-BA31-4951-AB26-3DF50C88291F}" xr6:coauthVersionLast="47" xr6:coauthVersionMax="47" xr10:uidLastSave="{00000000-0000-0000-0000-000000000000}"/>
  <bookViews>
    <workbookView xWindow="28680" yWindow="-120" windowWidth="29040" windowHeight="15720" xr2:uid="{CEA87D1B-13EE-4229-A039-5CA8B9BB8AD9}"/>
  </bookViews>
  <sheets>
    <sheet name="autoregulation 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7" i="1" l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  <c r="H30" i="2"/>
  <c r="I30" i="2"/>
  <c r="N30" i="2"/>
  <c r="O30" i="2"/>
  <c r="P30" i="2"/>
  <c r="H31" i="2"/>
  <c r="I31" i="2"/>
  <c r="N31" i="2"/>
  <c r="O31" i="2"/>
  <c r="P31" i="2"/>
  <c r="G31" i="2"/>
  <c r="G30" i="2"/>
  <c r="H27" i="2"/>
  <c r="I27" i="2"/>
  <c r="N27" i="2"/>
  <c r="O27" i="2"/>
  <c r="P27" i="2"/>
  <c r="G27" i="2"/>
  <c r="G24" i="2"/>
  <c r="H24" i="2"/>
  <c r="I24" i="2"/>
  <c r="J24" i="2"/>
  <c r="N24" i="2"/>
  <c r="O24" i="2"/>
  <c r="P24" i="2"/>
  <c r="G25" i="2"/>
  <c r="H25" i="2"/>
  <c r="I25" i="2"/>
  <c r="J25" i="2"/>
  <c r="N25" i="2"/>
  <c r="O25" i="2"/>
  <c r="P25" i="2"/>
</calcChain>
</file>

<file path=xl/sharedStrings.xml><?xml version="1.0" encoding="utf-8"?>
<sst xmlns="http://schemas.openxmlformats.org/spreadsheetml/2006/main" count="24" uniqueCount="23">
  <si>
    <t>Study ID</t>
  </si>
  <si>
    <t>treatment</t>
  </si>
  <si>
    <t>region</t>
  </si>
  <si>
    <t>gain_post</t>
  </si>
  <si>
    <t>phase_post</t>
  </si>
  <si>
    <t>coherence_post</t>
  </si>
  <si>
    <t>gain_base</t>
  </si>
  <si>
    <t>phase_base</t>
  </si>
  <si>
    <t>coherence_base</t>
  </si>
  <si>
    <t>delta_gain</t>
  </si>
  <si>
    <t>delta_phase</t>
  </si>
  <si>
    <t>key</t>
  </si>
  <si>
    <t>Treatment</t>
  </si>
  <si>
    <t>left dlPFC</t>
  </si>
  <si>
    <t>right dlPFC</t>
  </si>
  <si>
    <t>right mPFC</t>
  </si>
  <si>
    <t>left mPFC</t>
  </si>
  <si>
    <t>left PMC</t>
  </si>
  <si>
    <t>right PMC</t>
  </si>
  <si>
    <t>right OFC</t>
  </si>
  <si>
    <t>left OFC</t>
  </si>
  <si>
    <t>Placebo</t>
  </si>
  <si>
    <t>Beetroot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</si>
</sst>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5B5-0E07-48AE-9C2F-EEEAA5579D58}">
  <dimension ref="A1:S177"/>
  <sheetViews>
    <sheetView tabSelected="1" workbookViewId="0">
      <selection activeCell="J12" sqref="J12"/>
    </sheetView>
  </sheetViews>
  <sheetFormatPr defaultRowHeight="15" x14ac:dyDescent="0.25"/>
  <cols>
    <col min="10" max="10" width="10.28515625" bestFit="1" customWidth="1"/>
    <col min="11" max="11" width="11.85546875" bestFit="1" customWidth="1"/>
    <col min="17" max="17" width="10.28515625" bestFit="1" customWidth="1"/>
  </cols>
  <sheetData>
    <row r="1" spans="1:19" x14ac:dyDescent="0.25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  <c r="Q1" s="4" t="s">
        <v>11</v>
      </c>
    </row>
    <row r="2" spans="1:19" x14ac:dyDescent="0.25">
      <c r="A2" s="9">
        <v>12625</v>
      </c>
      <c r="B2">
        <v>2</v>
      </c>
      <c r="C2">
        <v>1</v>
      </c>
      <c r="D2">
        <v>3.8800000000000002E-3</v>
      </c>
      <c r="E2">
        <v>-7.1</v>
      </c>
      <c r="F2">
        <v>0.49</v>
      </c>
      <c r="G2">
        <v>5.0400000000000002E-3</v>
      </c>
      <c r="H2">
        <v>-86.5</v>
      </c>
      <c r="I2">
        <v>0.48799999999999999</v>
      </c>
      <c r="J2">
        <f>D2-G2</f>
        <v>-1.16E-3</v>
      </c>
      <c r="K2" s="1">
        <f>E2-H2</f>
        <v>79.400000000000006</v>
      </c>
      <c r="Q2" t="s">
        <v>2</v>
      </c>
      <c r="R2">
        <v>1</v>
      </c>
      <c r="S2" t="s">
        <v>13</v>
      </c>
    </row>
    <row r="3" spans="1:19" x14ac:dyDescent="0.25">
      <c r="A3" s="9">
        <v>15072</v>
      </c>
      <c r="B3">
        <v>1</v>
      </c>
      <c r="C3">
        <v>1</v>
      </c>
      <c r="D3">
        <v>8.1799999999999998E-3</v>
      </c>
      <c r="E3">
        <v>-0.4</v>
      </c>
      <c r="F3">
        <v>0.82199999999999995</v>
      </c>
      <c r="G3">
        <v>4.8199999999999996E-3</v>
      </c>
      <c r="H3">
        <v>-4.2</v>
      </c>
      <c r="I3">
        <v>0.56499999999999995</v>
      </c>
      <c r="J3">
        <f t="shared" ref="J3:J66" si="0">D3-G3</f>
        <v>3.3600000000000001E-3</v>
      </c>
      <c r="K3" s="1">
        <f t="shared" ref="K3:K66" si="1">E3-H3</f>
        <v>3.8000000000000003</v>
      </c>
      <c r="R3">
        <v>2</v>
      </c>
      <c r="S3" t="s">
        <v>14</v>
      </c>
    </row>
    <row r="4" spans="1:19" x14ac:dyDescent="0.25">
      <c r="A4" s="9">
        <v>16418</v>
      </c>
      <c r="B4">
        <v>1</v>
      </c>
      <c r="C4">
        <v>1</v>
      </c>
      <c r="D4">
        <v>4.47E-3</v>
      </c>
      <c r="E4">
        <v>-17.8</v>
      </c>
      <c r="F4">
        <v>0.88300000000000001</v>
      </c>
      <c r="G4">
        <v>2.8400000000000001E-3</v>
      </c>
      <c r="H4">
        <v>-25.7</v>
      </c>
      <c r="I4">
        <v>0.88800000000000001</v>
      </c>
      <c r="J4">
        <f t="shared" si="0"/>
        <v>1.6299999999999999E-3</v>
      </c>
      <c r="K4" s="1">
        <f t="shared" si="1"/>
        <v>7.8999999999999986</v>
      </c>
      <c r="R4">
        <v>3</v>
      </c>
      <c r="S4" t="s">
        <v>16</v>
      </c>
    </row>
    <row r="5" spans="1:19" x14ac:dyDescent="0.25">
      <c r="A5" s="9">
        <v>21605</v>
      </c>
      <c r="B5">
        <v>1</v>
      </c>
      <c r="C5">
        <v>1</v>
      </c>
      <c r="D5">
        <v>1.1140000000000001E-2</v>
      </c>
      <c r="E5">
        <v>-21.8</v>
      </c>
      <c r="F5">
        <v>0.95099999999999996</v>
      </c>
      <c r="G5">
        <v>2.7299999999999998E-3</v>
      </c>
      <c r="H5">
        <v>43</v>
      </c>
      <c r="I5">
        <v>0.85399999999999998</v>
      </c>
      <c r="J5">
        <f t="shared" si="0"/>
        <v>8.4100000000000008E-3</v>
      </c>
      <c r="K5" s="1">
        <f t="shared" si="1"/>
        <v>-64.8</v>
      </c>
      <c r="R5">
        <v>4</v>
      </c>
      <c r="S5" t="s">
        <v>15</v>
      </c>
    </row>
    <row r="6" spans="1:19" x14ac:dyDescent="0.25">
      <c r="A6" s="9">
        <v>22060</v>
      </c>
      <c r="B6">
        <v>2</v>
      </c>
      <c r="C6">
        <v>1</v>
      </c>
      <c r="D6">
        <v>8.3700000000000007E-3</v>
      </c>
      <c r="E6">
        <v>-8</v>
      </c>
      <c r="F6">
        <v>0.94199999999999995</v>
      </c>
      <c r="G6">
        <v>3.4499999999999999E-3</v>
      </c>
      <c r="H6">
        <v>-12.7</v>
      </c>
      <c r="I6">
        <v>0.91200000000000003</v>
      </c>
      <c r="J6">
        <f t="shared" si="0"/>
        <v>4.9200000000000008E-3</v>
      </c>
      <c r="K6" s="1">
        <f t="shared" si="1"/>
        <v>4.6999999999999993</v>
      </c>
      <c r="R6">
        <v>5</v>
      </c>
      <c r="S6" t="s">
        <v>17</v>
      </c>
    </row>
    <row r="7" spans="1:19" x14ac:dyDescent="0.25">
      <c r="A7" s="9">
        <v>24465</v>
      </c>
      <c r="B7">
        <v>1</v>
      </c>
      <c r="C7">
        <v>1</v>
      </c>
      <c r="D7">
        <v>6.9800000000000001E-3</v>
      </c>
      <c r="E7">
        <v>-24.1</v>
      </c>
      <c r="F7">
        <v>0.747</v>
      </c>
      <c r="G7">
        <v>3.1900000000000001E-3</v>
      </c>
      <c r="H7">
        <v>10.4</v>
      </c>
      <c r="I7">
        <v>0.65900000000000003</v>
      </c>
      <c r="J7">
        <f t="shared" si="0"/>
        <v>3.79E-3</v>
      </c>
      <c r="K7" s="1">
        <f t="shared" si="1"/>
        <v>-34.5</v>
      </c>
      <c r="R7">
        <v>6</v>
      </c>
      <c r="S7" t="s">
        <v>18</v>
      </c>
    </row>
    <row r="8" spans="1:19" x14ac:dyDescent="0.25">
      <c r="A8" s="9">
        <v>24687</v>
      </c>
      <c r="B8">
        <v>2</v>
      </c>
      <c r="C8">
        <v>1</v>
      </c>
      <c r="D8">
        <v>9.3200000000000002E-3</v>
      </c>
      <c r="E8">
        <v>18.8</v>
      </c>
      <c r="F8">
        <v>0.91300000000000003</v>
      </c>
      <c r="G8">
        <v>7.1000000000000004E-3</v>
      </c>
      <c r="H8">
        <v>-17.2</v>
      </c>
      <c r="I8">
        <v>0.92500000000000004</v>
      </c>
      <c r="J8">
        <f t="shared" si="0"/>
        <v>2.2199999999999998E-3</v>
      </c>
      <c r="K8" s="1">
        <f t="shared" si="1"/>
        <v>36</v>
      </c>
      <c r="R8">
        <v>7</v>
      </c>
      <c r="S8" t="s">
        <v>20</v>
      </c>
    </row>
    <row r="9" spans="1:19" x14ac:dyDescent="0.25">
      <c r="A9" s="9">
        <v>25121</v>
      </c>
      <c r="B9">
        <v>2</v>
      </c>
      <c r="C9">
        <v>1</v>
      </c>
      <c r="D9">
        <v>5.7499999999999999E-3</v>
      </c>
      <c r="E9">
        <v>10.3</v>
      </c>
      <c r="F9">
        <v>0.98</v>
      </c>
      <c r="G9">
        <v>7.1999999999999998E-3</v>
      </c>
      <c r="H9">
        <v>4.2</v>
      </c>
      <c r="I9">
        <v>0.97099999999999997</v>
      </c>
      <c r="J9">
        <f t="shared" si="0"/>
        <v>-1.4499999999999999E-3</v>
      </c>
      <c r="K9" s="1">
        <f t="shared" si="1"/>
        <v>6.1000000000000005</v>
      </c>
      <c r="R9">
        <v>8</v>
      </c>
      <c r="S9" t="s">
        <v>19</v>
      </c>
    </row>
    <row r="10" spans="1:19" x14ac:dyDescent="0.25">
      <c r="A10" s="9">
        <v>25463</v>
      </c>
      <c r="B10">
        <v>2</v>
      </c>
      <c r="C10">
        <v>1</v>
      </c>
      <c r="D10">
        <v>3.5500000000000002E-3</v>
      </c>
      <c r="E10">
        <v>43.1</v>
      </c>
      <c r="F10">
        <v>0.95</v>
      </c>
      <c r="G10">
        <v>3.0999999999999999E-3</v>
      </c>
      <c r="H10">
        <v>3.1</v>
      </c>
      <c r="I10">
        <v>0.95499999999999996</v>
      </c>
      <c r="J10">
        <f t="shared" si="0"/>
        <v>4.5000000000000031E-4</v>
      </c>
      <c r="K10" s="1">
        <f t="shared" si="1"/>
        <v>40</v>
      </c>
      <c r="Q10" t="s">
        <v>12</v>
      </c>
      <c r="R10">
        <v>1</v>
      </c>
      <c r="S10" t="s">
        <v>21</v>
      </c>
    </row>
    <row r="11" spans="1:19" x14ac:dyDescent="0.25">
      <c r="A11" s="9">
        <v>25724</v>
      </c>
      <c r="B11">
        <v>1</v>
      </c>
      <c r="C11">
        <v>1</v>
      </c>
      <c r="D11">
        <v>6.77E-3</v>
      </c>
      <c r="E11">
        <v>-37</v>
      </c>
      <c r="F11">
        <v>0.48299999999999998</v>
      </c>
      <c r="G11">
        <v>2.7000000000000001E-3</v>
      </c>
      <c r="H11">
        <v>-18</v>
      </c>
      <c r="I11">
        <v>0.64300000000000002</v>
      </c>
      <c r="J11">
        <f t="shared" si="0"/>
        <v>4.0699999999999998E-3</v>
      </c>
      <c r="K11" s="1">
        <f t="shared" si="1"/>
        <v>-19</v>
      </c>
      <c r="R11">
        <v>2</v>
      </c>
      <c r="S11" t="s">
        <v>22</v>
      </c>
    </row>
    <row r="12" spans="1:19" x14ac:dyDescent="0.25">
      <c r="A12" s="9">
        <v>28226</v>
      </c>
      <c r="B12">
        <v>1</v>
      </c>
      <c r="C12">
        <v>1</v>
      </c>
      <c r="D12">
        <v>5.3499999999999997E-3</v>
      </c>
      <c r="E12">
        <v>7.6</v>
      </c>
      <c r="F12">
        <v>0.97799999999999998</v>
      </c>
      <c r="G12">
        <v>6.5399999999999998E-3</v>
      </c>
      <c r="H12">
        <v>-6.9</v>
      </c>
      <c r="I12">
        <v>0.98899999999999999</v>
      </c>
      <c r="J12">
        <f t="shared" si="0"/>
        <v>-1.1900000000000001E-3</v>
      </c>
      <c r="K12" s="1">
        <f t="shared" si="1"/>
        <v>14.5</v>
      </c>
    </row>
    <row r="13" spans="1:19" x14ac:dyDescent="0.25">
      <c r="A13" s="9">
        <v>28474</v>
      </c>
      <c r="B13">
        <v>2</v>
      </c>
      <c r="C13">
        <v>1</v>
      </c>
      <c r="D13">
        <v>3.2799999999999999E-3</v>
      </c>
      <c r="E13">
        <v>17.7</v>
      </c>
      <c r="F13">
        <v>0.92800000000000005</v>
      </c>
      <c r="G13">
        <v>2.97E-3</v>
      </c>
      <c r="H13">
        <v>-8.3000000000000007</v>
      </c>
      <c r="I13">
        <v>0.94199999999999995</v>
      </c>
      <c r="J13">
        <f t="shared" si="0"/>
        <v>3.0999999999999995E-4</v>
      </c>
      <c r="K13" s="1">
        <f t="shared" si="1"/>
        <v>26</v>
      </c>
    </row>
    <row r="14" spans="1:19" x14ac:dyDescent="0.25">
      <c r="A14" s="9">
        <v>28572</v>
      </c>
      <c r="B14">
        <v>2</v>
      </c>
      <c r="C14">
        <v>1</v>
      </c>
      <c r="D14">
        <v>1.25E-3</v>
      </c>
      <c r="E14">
        <v>15.4</v>
      </c>
      <c r="F14">
        <v>0.59699999999999998</v>
      </c>
      <c r="G14">
        <v>2.49E-3</v>
      </c>
      <c r="H14">
        <v>26.6</v>
      </c>
      <c r="I14">
        <v>0.94299999999999995</v>
      </c>
      <c r="J14">
        <f t="shared" si="0"/>
        <v>-1.24E-3</v>
      </c>
      <c r="K14" s="1">
        <f t="shared" si="1"/>
        <v>-11.200000000000001</v>
      </c>
    </row>
    <row r="15" spans="1:19" x14ac:dyDescent="0.25">
      <c r="A15" s="9">
        <v>28597</v>
      </c>
      <c r="B15">
        <v>2</v>
      </c>
      <c r="C15">
        <v>1</v>
      </c>
      <c r="D15">
        <v>3.4099999999999998E-3</v>
      </c>
      <c r="E15">
        <v>-7.8</v>
      </c>
      <c r="F15">
        <v>0.46899999999999997</v>
      </c>
      <c r="G15">
        <v>5.1200000000000004E-3</v>
      </c>
      <c r="H15">
        <v>-15.1</v>
      </c>
      <c r="I15">
        <v>0.81899999999999995</v>
      </c>
      <c r="J15">
        <f t="shared" si="0"/>
        <v>-1.7100000000000006E-3</v>
      </c>
      <c r="K15" s="1">
        <f t="shared" si="1"/>
        <v>7.3</v>
      </c>
    </row>
    <row r="16" spans="1:19" x14ac:dyDescent="0.25">
      <c r="A16" s="9">
        <v>28608</v>
      </c>
      <c r="B16">
        <v>1</v>
      </c>
      <c r="C16">
        <v>1</v>
      </c>
      <c r="D16">
        <v>5.0899999999999999E-3</v>
      </c>
      <c r="E16">
        <v>-13.3</v>
      </c>
      <c r="F16">
        <v>0.94699999999999995</v>
      </c>
      <c r="G16">
        <v>4.3400000000000001E-3</v>
      </c>
      <c r="H16">
        <v>-21.1</v>
      </c>
      <c r="I16">
        <v>0.94699999999999995</v>
      </c>
      <c r="J16">
        <f t="shared" si="0"/>
        <v>7.499999999999998E-4</v>
      </c>
      <c r="K16" s="1">
        <f t="shared" si="1"/>
        <v>7.8000000000000007</v>
      </c>
    </row>
    <row r="17" spans="1:11" x14ac:dyDescent="0.25">
      <c r="A17" s="9">
        <v>28609</v>
      </c>
      <c r="B17">
        <v>1</v>
      </c>
      <c r="C17">
        <v>1</v>
      </c>
      <c r="D17">
        <v>4.8300000000000001E-3</v>
      </c>
      <c r="E17">
        <v>8.6999999999999993</v>
      </c>
      <c r="F17">
        <v>0.91100000000000003</v>
      </c>
      <c r="G17">
        <v>4.0899999999999999E-3</v>
      </c>
      <c r="H17">
        <v>-16.899999999999999</v>
      </c>
      <c r="I17">
        <v>0.98699999999999999</v>
      </c>
      <c r="J17">
        <f t="shared" si="0"/>
        <v>7.4000000000000021E-4</v>
      </c>
      <c r="K17" s="1">
        <f t="shared" si="1"/>
        <v>25.599999999999998</v>
      </c>
    </row>
    <row r="18" spans="1:11" x14ac:dyDescent="0.25">
      <c r="A18" s="9">
        <v>28632</v>
      </c>
      <c r="B18">
        <v>2</v>
      </c>
      <c r="C18">
        <v>1</v>
      </c>
      <c r="D18">
        <v>7.1599999999999997E-3</v>
      </c>
      <c r="E18">
        <v>-3.4</v>
      </c>
      <c r="F18">
        <v>0.79600000000000004</v>
      </c>
      <c r="G18">
        <v>1.2160000000000001E-2</v>
      </c>
      <c r="H18">
        <v>8.5</v>
      </c>
      <c r="I18">
        <v>0.95399999999999996</v>
      </c>
      <c r="J18">
        <f t="shared" si="0"/>
        <v>-5.000000000000001E-3</v>
      </c>
      <c r="K18" s="1">
        <f t="shared" si="1"/>
        <v>-11.9</v>
      </c>
    </row>
    <row r="19" spans="1:11" x14ac:dyDescent="0.25">
      <c r="A19" s="9">
        <v>28664</v>
      </c>
      <c r="B19">
        <v>2</v>
      </c>
      <c r="C19">
        <v>1</v>
      </c>
      <c r="D19">
        <v>8.0499999999999999E-3</v>
      </c>
      <c r="E19">
        <v>-8</v>
      </c>
      <c r="F19">
        <v>0.93600000000000005</v>
      </c>
      <c r="G19">
        <v>5.1700000000000001E-3</v>
      </c>
      <c r="H19">
        <v>0.5</v>
      </c>
      <c r="I19">
        <v>0.90800000000000003</v>
      </c>
      <c r="J19">
        <f t="shared" si="0"/>
        <v>2.8799999999999997E-3</v>
      </c>
      <c r="K19" s="1">
        <f t="shared" si="1"/>
        <v>-8.5</v>
      </c>
    </row>
    <row r="20" spans="1:11" x14ac:dyDescent="0.25">
      <c r="A20" s="9">
        <v>28669</v>
      </c>
      <c r="B20">
        <v>1</v>
      </c>
      <c r="C20">
        <v>1</v>
      </c>
      <c r="D20">
        <v>3.3800000000000002E-3</v>
      </c>
      <c r="E20">
        <v>26</v>
      </c>
      <c r="F20">
        <v>0.82599999999999996</v>
      </c>
      <c r="G20">
        <v>4.8900000000000002E-3</v>
      </c>
      <c r="H20">
        <v>26.4</v>
      </c>
      <c r="I20">
        <v>0.93100000000000005</v>
      </c>
      <c r="J20">
        <f t="shared" si="0"/>
        <v>-1.5100000000000001E-3</v>
      </c>
      <c r="K20" s="1">
        <f t="shared" si="1"/>
        <v>-0.39999999999999858</v>
      </c>
    </row>
    <row r="21" spans="1:11" x14ac:dyDescent="0.25">
      <c r="A21" s="9">
        <v>28873</v>
      </c>
      <c r="B21">
        <v>2</v>
      </c>
      <c r="C21">
        <v>1</v>
      </c>
      <c r="D21">
        <v>7.43E-3</v>
      </c>
      <c r="E21">
        <v>8</v>
      </c>
      <c r="F21">
        <v>0.43099999999999999</v>
      </c>
      <c r="G21">
        <v>1.0919999999999999E-2</v>
      </c>
      <c r="H21">
        <v>-4.7</v>
      </c>
      <c r="I21">
        <v>0.64</v>
      </c>
      <c r="J21">
        <f t="shared" si="0"/>
        <v>-3.4899999999999992E-3</v>
      </c>
      <c r="K21" s="1">
        <f t="shared" si="1"/>
        <v>12.7</v>
      </c>
    </row>
    <row r="22" spans="1:11" x14ac:dyDescent="0.25">
      <c r="A22" s="9">
        <v>28904</v>
      </c>
      <c r="B22">
        <v>1</v>
      </c>
      <c r="C22">
        <v>1</v>
      </c>
      <c r="D22">
        <v>5.7200000000000003E-3</v>
      </c>
      <c r="E22">
        <v>-25.6</v>
      </c>
      <c r="F22">
        <v>0.64500000000000002</v>
      </c>
      <c r="G22">
        <v>3.62E-3</v>
      </c>
      <c r="H22">
        <v>-11.8</v>
      </c>
      <c r="I22">
        <v>0.94099999999999995</v>
      </c>
      <c r="J22">
        <f t="shared" si="0"/>
        <v>2.1000000000000003E-3</v>
      </c>
      <c r="K22" s="1">
        <f t="shared" si="1"/>
        <v>-13.8</v>
      </c>
    </row>
    <row r="23" spans="1:11" x14ac:dyDescent="0.25">
      <c r="A23" s="10">
        <v>28925</v>
      </c>
      <c r="B23" s="2">
        <v>2</v>
      </c>
      <c r="C23" s="2">
        <v>1</v>
      </c>
      <c r="D23" s="2">
        <v>5.7099999999999998E-3</v>
      </c>
      <c r="E23" s="2">
        <v>0.6</v>
      </c>
      <c r="F23" s="2">
        <v>0.90300000000000002</v>
      </c>
      <c r="G23" s="2">
        <v>4.1399999999999996E-3</v>
      </c>
      <c r="H23" s="2">
        <v>11.9</v>
      </c>
      <c r="I23" s="2">
        <v>0.88700000000000001</v>
      </c>
      <c r="J23" s="2">
        <f t="shared" si="0"/>
        <v>1.5700000000000002E-3</v>
      </c>
      <c r="K23" s="3">
        <f t="shared" si="1"/>
        <v>-11.3</v>
      </c>
    </row>
    <row r="24" spans="1:11" x14ac:dyDescent="0.25">
      <c r="A24" s="9">
        <v>12625</v>
      </c>
      <c r="B24">
        <v>2</v>
      </c>
      <c r="C24">
        <v>2</v>
      </c>
      <c r="D24">
        <v>7.2199999999999999E-3</v>
      </c>
      <c r="E24">
        <v>-84</v>
      </c>
      <c r="F24">
        <v>0.54400000000000004</v>
      </c>
      <c r="G24">
        <v>4.1900000000000001E-3</v>
      </c>
      <c r="H24">
        <v>-40.1</v>
      </c>
      <c r="I24">
        <v>0.55500000000000005</v>
      </c>
      <c r="J24">
        <f t="shared" si="0"/>
        <v>3.0299999999999997E-3</v>
      </c>
      <c r="K24" s="1">
        <f t="shared" si="1"/>
        <v>-43.9</v>
      </c>
    </row>
    <row r="25" spans="1:11" x14ac:dyDescent="0.25">
      <c r="A25" s="9">
        <v>15072</v>
      </c>
      <c r="B25">
        <v>1</v>
      </c>
      <c r="C25">
        <v>2</v>
      </c>
      <c r="D25">
        <v>8.6E-3</v>
      </c>
      <c r="E25">
        <v>-2</v>
      </c>
      <c r="F25">
        <v>0.94</v>
      </c>
      <c r="G25">
        <v>6.62E-3</v>
      </c>
      <c r="H25">
        <v>-7.7</v>
      </c>
      <c r="I25">
        <v>0.86599999999999999</v>
      </c>
      <c r="J25">
        <f t="shared" si="0"/>
        <v>1.98E-3</v>
      </c>
      <c r="K25" s="1">
        <f t="shared" si="1"/>
        <v>5.7</v>
      </c>
    </row>
    <row r="26" spans="1:11" x14ac:dyDescent="0.25">
      <c r="A26" s="9">
        <v>16418</v>
      </c>
      <c r="B26">
        <v>1</v>
      </c>
      <c r="C26">
        <v>2</v>
      </c>
      <c r="D26">
        <v>4.0099999999999997E-3</v>
      </c>
      <c r="E26">
        <v>-44.8</v>
      </c>
      <c r="F26">
        <v>0.88300000000000001</v>
      </c>
      <c r="G26">
        <v>4.0699999999999998E-3</v>
      </c>
      <c r="H26">
        <v>-7.3</v>
      </c>
      <c r="I26">
        <v>0.89700000000000002</v>
      </c>
      <c r="J26">
        <f t="shared" si="0"/>
        <v>-6.0000000000000157E-5</v>
      </c>
      <c r="K26" s="1">
        <f t="shared" si="1"/>
        <v>-37.5</v>
      </c>
    </row>
    <row r="27" spans="1:11" x14ac:dyDescent="0.25">
      <c r="A27" s="9">
        <v>21605</v>
      </c>
      <c r="B27">
        <v>1</v>
      </c>
      <c r="C27">
        <v>2</v>
      </c>
      <c r="D27">
        <v>9.7999999999999997E-3</v>
      </c>
      <c r="E27">
        <v>1</v>
      </c>
      <c r="F27">
        <v>0.92900000000000005</v>
      </c>
      <c r="G27">
        <v>1.7600000000000001E-3</v>
      </c>
      <c r="H27">
        <v>46.4</v>
      </c>
      <c r="I27">
        <v>0.312</v>
      </c>
      <c r="J27">
        <f t="shared" si="0"/>
        <v>8.0400000000000003E-3</v>
      </c>
      <c r="K27" s="1">
        <f t="shared" si="1"/>
        <v>-45.4</v>
      </c>
    </row>
    <row r="28" spans="1:11" x14ac:dyDescent="0.25">
      <c r="A28" s="9">
        <v>22060</v>
      </c>
      <c r="B28">
        <v>2</v>
      </c>
      <c r="C28">
        <v>2</v>
      </c>
      <c r="D28">
        <v>7.6699999999999997E-3</v>
      </c>
      <c r="E28">
        <v>-12.1</v>
      </c>
      <c r="F28">
        <v>0.94</v>
      </c>
      <c r="G28">
        <v>3.4199999999999999E-3</v>
      </c>
      <c r="H28">
        <v>-9.6999999999999993</v>
      </c>
      <c r="I28">
        <v>0.76800000000000002</v>
      </c>
      <c r="J28">
        <f t="shared" si="0"/>
        <v>4.2500000000000003E-3</v>
      </c>
      <c r="K28" s="1">
        <f t="shared" si="1"/>
        <v>-2.4000000000000004</v>
      </c>
    </row>
    <row r="29" spans="1:11" x14ac:dyDescent="0.25">
      <c r="A29" s="9">
        <v>24465</v>
      </c>
      <c r="B29">
        <v>1</v>
      </c>
      <c r="C29">
        <v>2</v>
      </c>
      <c r="D29">
        <v>5.4099999999999999E-3</v>
      </c>
      <c r="E29">
        <v>-10.7</v>
      </c>
      <c r="F29">
        <v>0.77500000000000002</v>
      </c>
      <c r="G29">
        <v>2.5000000000000001E-3</v>
      </c>
      <c r="H29">
        <v>24.9</v>
      </c>
      <c r="I29">
        <v>0.78200000000000003</v>
      </c>
      <c r="J29">
        <f t="shared" si="0"/>
        <v>2.9099999999999998E-3</v>
      </c>
      <c r="K29" s="1">
        <f t="shared" si="1"/>
        <v>-35.599999999999994</v>
      </c>
    </row>
    <row r="30" spans="1:11" x14ac:dyDescent="0.25">
      <c r="A30" s="9">
        <v>24687</v>
      </c>
      <c r="B30">
        <v>2</v>
      </c>
      <c r="C30">
        <v>2</v>
      </c>
      <c r="D30">
        <v>7.5100000000000002E-3</v>
      </c>
      <c r="E30">
        <v>-4.5</v>
      </c>
      <c r="F30">
        <v>0.89700000000000002</v>
      </c>
      <c r="G30">
        <v>7.2199999999999999E-3</v>
      </c>
      <c r="H30">
        <v>-9.9</v>
      </c>
      <c r="I30">
        <v>0.92900000000000005</v>
      </c>
      <c r="J30">
        <f t="shared" si="0"/>
        <v>2.9000000000000033E-4</v>
      </c>
      <c r="K30" s="1">
        <f t="shared" si="1"/>
        <v>5.4</v>
      </c>
    </row>
    <row r="31" spans="1:11" x14ac:dyDescent="0.25">
      <c r="A31" s="9">
        <v>25121</v>
      </c>
      <c r="B31">
        <v>2</v>
      </c>
      <c r="C31">
        <v>2</v>
      </c>
      <c r="D31">
        <v>5.4200000000000003E-3</v>
      </c>
      <c r="E31">
        <v>14.5</v>
      </c>
      <c r="F31">
        <v>0.98399999999999999</v>
      </c>
      <c r="G31">
        <v>5.6600000000000001E-3</v>
      </c>
      <c r="H31">
        <v>2.8</v>
      </c>
      <c r="I31">
        <v>0.97899999999999998</v>
      </c>
      <c r="J31">
        <f t="shared" si="0"/>
        <v>-2.3999999999999976E-4</v>
      </c>
      <c r="K31" s="1">
        <f t="shared" si="1"/>
        <v>11.7</v>
      </c>
    </row>
    <row r="32" spans="1:11" x14ac:dyDescent="0.25">
      <c r="A32" s="9">
        <v>25463</v>
      </c>
      <c r="B32">
        <v>2</v>
      </c>
      <c r="C32">
        <v>2</v>
      </c>
      <c r="D32">
        <v>2.2399999999999998E-3</v>
      </c>
      <c r="E32">
        <v>28.2</v>
      </c>
      <c r="F32">
        <v>0.90200000000000002</v>
      </c>
      <c r="G32">
        <v>1.1900000000000001E-3</v>
      </c>
      <c r="H32">
        <v>-43.7</v>
      </c>
      <c r="I32">
        <v>0.69899999999999995</v>
      </c>
      <c r="J32">
        <f t="shared" si="0"/>
        <v>1.0499999999999997E-3</v>
      </c>
      <c r="K32" s="1">
        <f t="shared" si="1"/>
        <v>71.900000000000006</v>
      </c>
    </row>
    <row r="33" spans="1:11" x14ac:dyDescent="0.25">
      <c r="A33" s="9">
        <v>25724</v>
      </c>
      <c r="B33">
        <v>1</v>
      </c>
      <c r="C33">
        <v>2</v>
      </c>
      <c r="D33">
        <v>3.98E-3</v>
      </c>
      <c r="E33">
        <v>-23.7</v>
      </c>
      <c r="F33">
        <v>0.54</v>
      </c>
      <c r="G33">
        <v>2.9399999999999999E-3</v>
      </c>
      <c r="H33">
        <v>-16.100000000000001</v>
      </c>
      <c r="I33">
        <v>0.48699999999999999</v>
      </c>
      <c r="J33">
        <f t="shared" si="0"/>
        <v>1.0400000000000001E-3</v>
      </c>
      <c r="K33" s="1">
        <f t="shared" si="1"/>
        <v>-7.5999999999999979</v>
      </c>
    </row>
    <row r="34" spans="1:11" x14ac:dyDescent="0.25">
      <c r="A34" s="9">
        <v>28226</v>
      </c>
      <c r="B34">
        <v>1</v>
      </c>
      <c r="C34">
        <v>2</v>
      </c>
      <c r="D34">
        <v>2.97E-3</v>
      </c>
      <c r="E34">
        <v>15</v>
      </c>
      <c r="F34">
        <v>0.98699999999999999</v>
      </c>
      <c r="G34">
        <v>3.7200000000000002E-3</v>
      </c>
      <c r="H34">
        <v>11.7</v>
      </c>
      <c r="I34">
        <v>0.99</v>
      </c>
      <c r="J34">
        <f t="shared" si="0"/>
        <v>-7.5000000000000023E-4</v>
      </c>
      <c r="K34" s="1">
        <f t="shared" si="1"/>
        <v>3.3000000000000007</v>
      </c>
    </row>
    <row r="35" spans="1:11" x14ac:dyDescent="0.25">
      <c r="A35" s="9">
        <v>28474</v>
      </c>
      <c r="B35">
        <v>2</v>
      </c>
      <c r="C35">
        <v>2</v>
      </c>
      <c r="D35">
        <v>3.2699999999999999E-3</v>
      </c>
      <c r="E35">
        <v>-2.2999999999999998</v>
      </c>
      <c r="F35">
        <v>0.91500000000000004</v>
      </c>
      <c r="G35">
        <v>2.65E-3</v>
      </c>
      <c r="H35">
        <v>-6.7</v>
      </c>
      <c r="I35">
        <v>0.88300000000000001</v>
      </c>
      <c r="J35">
        <f t="shared" si="0"/>
        <v>6.1999999999999989E-4</v>
      </c>
      <c r="K35" s="1">
        <f t="shared" si="1"/>
        <v>4.4000000000000004</v>
      </c>
    </row>
    <row r="36" spans="1:11" x14ac:dyDescent="0.25">
      <c r="A36" s="9">
        <v>28572</v>
      </c>
      <c r="B36">
        <v>2</v>
      </c>
      <c r="C36">
        <v>2</v>
      </c>
      <c r="D36">
        <v>1.81E-3</v>
      </c>
      <c r="E36">
        <v>-9.8000000000000007</v>
      </c>
      <c r="F36">
        <v>0.9</v>
      </c>
      <c r="G36">
        <v>5.28E-3</v>
      </c>
      <c r="H36">
        <v>19.100000000000001</v>
      </c>
      <c r="I36">
        <v>0.94899999999999995</v>
      </c>
      <c r="J36">
        <f t="shared" si="0"/>
        <v>-3.47E-3</v>
      </c>
      <c r="K36" s="1">
        <f t="shared" si="1"/>
        <v>-28.900000000000002</v>
      </c>
    </row>
    <row r="37" spans="1:11" x14ac:dyDescent="0.25">
      <c r="A37" s="9">
        <v>28597</v>
      </c>
      <c r="B37">
        <v>2</v>
      </c>
      <c r="C37">
        <v>2</v>
      </c>
      <c r="D37">
        <v>2.5799999999999998E-3</v>
      </c>
      <c r="E37">
        <v>-15.1</v>
      </c>
      <c r="F37">
        <v>0.65500000000000003</v>
      </c>
      <c r="G37">
        <v>3.8700000000000002E-3</v>
      </c>
      <c r="H37">
        <v>-32.5</v>
      </c>
      <c r="I37">
        <v>0.95199999999999996</v>
      </c>
      <c r="J37">
        <f t="shared" si="0"/>
        <v>-1.2900000000000003E-3</v>
      </c>
      <c r="K37" s="1">
        <f t="shared" si="1"/>
        <v>17.399999999999999</v>
      </c>
    </row>
    <row r="38" spans="1:11" x14ac:dyDescent="0.25">
      <c r="A38" s="9">
        <v>28608</v>
      </c>
      <c r="B38">
        <v>1</v>
      </c>
      <c r="C38">
        <v>2</v>
      </c>
      <c r="D38">
        <v>5.2700000000000004E-3</v>
      </c>
      <c r="E38">
        <v>-19.5</v>
      </c>
      <c r="F38">
        <v>0.92300000000000004</v>
      </c>
      <c r="G38">
        <v>5.0000000000000001E-3</v>
      </c>
      <c r="H38">
        <v>-22.6</v>
      </c>
      <c r="I38">
        <v>0.92200000000000004</v>
      </c>
      <c r="J38">
        <f t="shared" si="0"/>
        <v>2.7000000000000027E-4</v>
      </c>
      <c r="K38" s="1">
        <f t="shared" si="1"/>
        <v>3.1000000000000014</v>
      </c>
    </row>
    <row r="39" spans="1:11" x14ac:dyDescent="0.25">
      <c r="A39" s="9">
        <v>28609</v>
      </c>
      <c r="B39">
        <v>1</v>
      </c>
      <c r="C39">
        <v>2</v>
      </c>
      <c r="D39">
        <v>5.0099999999999997E-3</v>
      </c>
      <c r="E39">
        <v>-9.4</v>
      </c>
      <c r="F39">
        <v>0.95699999999999996</v>
      </c>
      <c r="G39">
        <v>5.7499999999999999E-3</v>
      </c>
      <c r="H39">
        <v>-27</v>
      </c>
      <c r="I39">
        <v>0.98399999999999999</v>
      </c>
      <c r="J39">
        <f t="shared" si="0"/>
        <v>-7.4000000000000021E-4</v>
      </c>
      <c r="K39" s="1">
        <f t="shared" si="1"/>
        <v>17.600000000000001</v>
      </c>
    </row>
    <row r="40" spans="1:11" x14ac:dyDescent="0.25">
      <c r="A40" s="9">
        <v>28632</v>
      </c>
      <c r="B40">
        <v>2</v>
      </c>
      <c r="C40">
        <v>2</v>
      </c>
      <c r="D40">
        <v>7.2500000000000004E-3</v>
      </c>
      <c r="E40">
        <v>2.7</v>
      </c>
      <c r="F40">
        <v>0.80200000000000005</v>
      </c>
      <c r="G40">
        <v>1.2930000000000001E-2</v>
      </c>
      <c r="H40">
        <v>-0.4</v>
      </c>
      <c r="I40">
        <v>0.95299999999999996</v>
      </c>
      <c r="J40">
        <f t="shared" si="0"/>
        <v>-5.6800000000000002E-3</v>
      </c>
      <c r="K40" s="1">
        <f t="shared" si="1"/>
        <v>3.1</v>
      </c>
    </row>
    <row r="41" spans="1:11" x14ac:dyDescent="0.25">
      <c r="A41" s="9">
        <v>28664</v>
      </c>
      <c r="B41">
        <v>2</v>
      </c>
      <c r="C41">
        <v>2</v>
      </c>
      <c r="D41">
        <v>7.1000000000000004E-3</v>
      </c>
      <c r="E41">
        <v>-6.6</v>
      </c>
      <c r="F41">
        <v>0.91400000000000003</v>
      </c>
      <c r="G41">
        <v>5.4299999999999999E-3</v>
      </c>
      <c r="H41">
        <v>-5.4</v>
      </c>
      <c r="I41">
        <v>0.96899999999999997</v>
      </c>
      <c r="J41">
        <f t="shared" si="0"/>
        <v>1.6700000000000005E-3</v>
      </c>
      <c r="K41" s="1">
        <f t="shared" si="1"/>
        <v>-1.1999999999999993</v>
      </c>
    </row>
    <row r="42" spans="1:11" x14ac:dyDescent="0.25">
      <c r="A42" s="9">
        <v>28669</v>
      </c>
      <c r="B42">
        <v>1</v>
      </c>
      <c r="C42">
        <v>2</v>
      </c>
      <c r="D42">
        <v>4.9399999999999999E-3</v>
      </c>
      <c r="E42">
        <v>26.7</v>
      </c>
      <c r="F42">
        <v>0.91400000000000003</v>
      </c>
      <c r="G42">
        <v>4.8700000000000002E-3</v>
      </c>
      <c r="H42">
        <v>33.299999999999997</v>
      </c>
      <c r="I42">
        <v>0.95299999999999996</v>
      </c>
      <c r="J42">
        <f t="shared" si="0"/>
        <v>6.999999999999975E-5</v>
      </c>
      <c r="K42" s="1">
        <f t="shared" si="1"/>
        <v>-6.5999999999999979</v>
      </c>
    </row>
    <row r="43" spans="1:11" x14ac:dyDescent="0.25">
      <c r="A43" s="9">
        <v>28873</v>
      </c>
      <c r="B43">
        <v>2</v>
      </c>
      <c r="C43">
        <v>2</v>
      </c>
      <c r="D43">
        <v>5.62E-3</v>
      </c>
      <c r="E43">
        <v>-26.2</v>
      </c>
      <c r="F43">
        <v>0.35299999999999998</v>
      </c>
      <c r="G43">
        <v>7.2700000000000004E-3</v>
      </c>
      <c r="H43">
        <v>-48</v>
      </c>
      <c r="I43">
        <v>0.65700000000000003</v>
      </c>
      <c r="J43">
        <f t="shared" si="0"/>
        <v>-1.6500000000000004E-3</v>
      </c>
      <c r="K43" s="1">
        <f t="shared" si="1"/>
        <v>21.8</v>
      </c>
    </row>
    <row r="44" spans="1:11" x14ac:dyDescent="0.25">
      <c r="A44" s="9">
        <v>28904</v>
      </c>
      <c r="B44">
        <v>1</v>
      </c>
      <c r="C44">
        <v>2</v>
      </c>
      <c r="D44">
        <v>6.9699999999999996E-3</v>
      </c>
      <c r="E44">
        <v>-35.299999999999997</v>
      </c>
      <c r="F44">
        <v>0.78500000000000003</v>
      </c>
      <c r="G44">
        <v>3.9699999999999996E-3</v>
      </c>
      <c r="H44">
        <v>7.1</v>
      </c>
      <c r="I44">
        <v>0.96499999999999997</v>
      </c>
      <c r="J44">
        <f t="shared" si="0"/>
        <v>3.0000000000000001E-3</v>
      </c>
      <c r="K44" s="1">
        <f t="shared" si="1"/>
        <v>-42.4</v>
      </c>
    </row>
    <row r="45" spans="1:11" x14ac:dyDescent="0.25">
      <c r="A45" s="10">
        <v>28925</v>
      </c>
      <c r="B45" s="2">
        <v>2</v>
      </c>
      <c r="C45" s="2">
        <v>2</v>
      </c>
      <c r="D45" s="2">
        <v>4.7099999999999998E-3</v>
      </c>
      <c r="E45" s="2">
        <v>1.4</v>
      </c>
      <c r="F45" s="2">
        <v>0.84</v>
      </c>
      <c r="G45" s="2">
        <v>4.1599999999999996E-3</v>
      </c>
      <c r="H45" s="2">
        <v>14.8</v>
      </c>
      <c r="I45" s="2">
        <v>0.91300000000000003</v>
      </c>
      <c r="J45" s="2">
        <f t="shared" si="0"/>
        <v>5.5000000000000014E-4</v>
      </c>
      <c r="K45" s="3">
        <f t="shared" si="1"/>
        <v>-13.4</v>
      </c>
    </row>
    <row r="46" spans="1:11" x14ac:dyDescent="0.25">
      <c r="A46" s="9">
        <v>12625</v>
      </c>
      <c r="B46">
        <v>2</v>
      </c>
      <c r="C46">
        <v>3</v>
      </c>
      <c r="D46">
        <v>1.92E-3</v>
      </c>
      <c r="E46">
        <v>-43.5</v>
      </c>
      <c r="F46">
        <v>0.26400000000000001</v>
      </c>
      <c r="G46">
        <v>9.3399999999999993E-3</v>
      </c>
      <c r="H46">
        <v>-65.099999999999994</v>
      </c>
      <c r="I46">
        <v>0.53900000000000003</v>
      </c>
      <c r="J46">
        <f t="shared" si="0"/>
        <v>-7.4199999999999995E-3</v>
      </c>
      <c r="K46" s="1">
        <f t="shared" si="1"/>
        <v>21.599999999999994</v>
      </c>
    </row>
    <row r="47" spans="1:11" x14ac:dyDescent="0.25">
      <c r="A47" s="9">
        <v>15072</v>
      </c>
      <c r="B47">
        <v>1</v>
      </c>
      <c r="C47">
        <v>3</v>
      </c>
      <c r="D47">
        <v>9.4599999999999997E-3</v>
      </c>
      <c r="E47">
        <v>-17.7</v>
      </c>
      <c r="F47">
        <v>0.94899999999999995</v>
      </c>
      <c r="G47">
        <v>7.8200000000000006E-3</v>
      </c>
      <c r="H47">
        <v>-31.6</v>
      </c>
      <c r="I47">
        <v>0.79400000000000004</v>
      </c>
      <c r="J47">
        <f t="shared" si="0"/>
        <v>1.6399999999999991E-3</v>
      </c>
      <c r="K47" s="1">
        <f t="shared" si="1"/>
        <v>13.900000000000002</v>
      </c>
    </row>
    <row r="48" spans="1:11" x14ac:dyDescent="0.25">
      <c r="A48" s="9">
        <v>16418</v>
      </c>
      <c r="B48">
        <v>1</v>
      </c>
      <c r="C48">
        <v>3</v>
      </c>
      <c r="D48">
        <v>9.2800000000000001E-3</v>
      </c>
      <c r="E48">
        <v>-31.2</v>
      </c>
      <c r="F48">
        <v>0.92700000000000005</v>
      </c>
      <c r="G48">
        <v>5.6499999999999996E-3</v>
      </c>
      <c r="H48">
        <v>-17.2</v>
      </c>
      <c r="I48">
        <v>0.96499999999999997</v>
      </c>
      <c r="J48">
        <f t="shared" si="0"/>
        <v>3.6300000000000004E-3</v>
      </c>
      <c r="K48" s="1">
        <f t="shared" si="1"/>
        <v>-14</v>
      </c>
    </row>
    <row r="49" spans="1:11" x14ac:dyDescent="0.25">
      <c r="A49" s="9">
        <v>21605</v>
      </c>
      <c r="B49">
        <v>1</v>
      </c>
      <c r="C49">
        <v>3</v>
      </c>
      <c r="D49">
        <v>1.085E-2</v>
      </c>
      <c r="E49">
        <v>-11.6</v>
      </c>
      <c r="F49">
        <v>0.88900000000000001</v>
      </c>
      <c r="G49">
        <v>3.48E-3</v>
      </c>
      <c r="H49">
        <v>86.5</v>
      </c>
      <c r="I49">
        <v>0.76300000000000001</v>
      </c>
      <c r="J49">
        <f t="shared" si="0"/>
        <v>7.3699999999999998E-3</v>
      </c>
      <c r="K49" s="1">
        <f t="shared" si="1"/>
        <v>-98.1</v>
      </c>
    </row>
    <row r="50" spans="1:11" x14ac:dyDescent="0.25">
      <c r="A50" s="9">
        <v>22060</v>
      </c>
      <c r="B50">
        <v>2</v>
      </c>
      <c r="C50">
        <v>3</v>
      </c>
      <c r="D50">
        <v>9.2200000000000008E-3</v>
      </c>
      <c r="E50">
        <v>-12.6</v>
      </c>
      <c r="F50">
        <v>0.91300000000000003</v>
      </c>
      <c r="G50">
        <v>5.4299999999999999E-3</v>
      </c>
      <c r="H50">
        <v>-35.200000000000003</v>
      </c>
      <c r="I50">
        <v>0.90600000000000003</v>
      </c>
      <c r="J50">
        <f t="shared" si="0"/>
        <v>3.7900000000000008E-3</v>
      </c>
      <c r="K50" s="1">
        <f t="shared" si="1"/>
        <v>22.6</v>
      </c>
    </row>
    <row r="51" spans="1:11" x14ac:dyDescent="0.25">
      <c r="A51" s="9">
        <v>24465</v>
      </c>
      <c r="B51">
        <v>1</v>
      </c>
      <c r="C51">
        <v>3</v>
      </c>
      <c r="D51">
        <v>7.8100000000000001E-3</v>
      </c>
      <c r="E51">
        <v>-16.399999999999999</v>
      </c>
      <c r="F51">
        <v>0.81100000000000005</v>
      </c>
      <c r="G51">
        <v>5.5399999999999998E-3</v>
      </c>
      <c r="H51">
        <v>10.1</v>
      </c>
      <c r="I51">
        <v>0.89900000000000002</v>
      </c>
      <c r="J51">
        <f t="shared" si="0"/>
        <v>2.2700000000000003E-3</v>
      </c>
      <c r="K51" s="1">
        <f t="shared" si="1"/>
        <v>-26.5</v>
      </c>
    </row>
    <row r="52" spans="1:11" x14ac:dyDescent="0.25">
      <c r="A52" s="9">
        <v>24687</v>
      </c>
      <c r="B52">
        <v>2</v>
      </c>
      <c r="C52">
        <v>3</v>
      </c>
      <c r="D52">
        <v>1.374E-2</v>
      </c>
      <c r="E52">
        <v>-5.2</v>
      </c>
      <c r="F52">
        <v>0.91500000000000004</v>
      </c>
      <c r="G52">
        <v>9.6500000000000006E-3</v>
      </c>
      <c r="H52">
        <v>-21.3</v>
      </c>
      <c r="I52">
        <v>0.95</v>
      </c>
      <c r="J52">
        <f t="shared" si="0"/>
        <v>4.0899999999999999E-3</v>
      </c>
      <c r="K52" s="1">
        <f t="shared" si="1"/>
        <v>16.100000000000001</v>
      </c>
    </row>
    <row r="53" spans="1:11" x14ac:dyDescent="0.25">
      <c r="A53" s="9">
        <v>25121</v>
      </c>
      <c r="B53">
        <v>2</v>
      </c>
      <c r="C53">
        <v>3</v>
      </c>
      <c r="D53">
        <v>7.1199999999999996E-3</v>
      </c>
      <c r="E53">
        <v>-8.9</v>
      </c>
      <c r="F53">
        <v>0.97499999999999998</v>
      </c>
      <c r="G53">
        <v>7.77E-3</v>
      </c>
      <c r="H53">
        <v>13</v>
      </c>
      <c r="I53">
        <v>0.97699999999999998</v>
      </c>
      <c r="J53">
        <f t="shared" si="0"/>
        <v>-6.500000000000004E-4</v>
      </c>
      <c r="K53" s="1">
        <f t="shared" si="1"/>
        <v>-21.9</v>
      </c>
    </row>
    <row r="54" spans="1:11" x14ac:dyDescent="0.25">
      <c r="A54" s="9">
        <v>25463</v>
      </c>
      <c r="B54">
        <v>2</v>
      </c>
      <c r="C54">
        <v>3</v>
      </c>
      <c r="D54">
        <v>1.7700000000000001E-3</v>
      </c>
      <c r="E54">
        <v>-3.3</v>
      </c>
      <c r="F54">
        <v>0.97199999999999998</v>
      </c>
      <c r="G54">
        <v>2.3999999999999998E-3</v>
      </c>
      <c r="H54">
        <v>1.7</v>
      </c>
      <c r="I54">
        <v>0.876</v>
      </c>
      <c r="J54">
        <f t="shared" si="0"/>
        <v>-6.299999999999997E-4</v>
      </c>
      <c r="K54" s="1">
        <f t="shared" si="1"/>
        <v>-5</v>
      </c>
    </row>
    <row r="55" spans="1:11" x14ac:dyDescent="0.25">
      <c r="A55" s="9">
        <v>25724</v>
      </c>
      <c r="B55">
        <v>1</v>
      </c>
      <c r="C55">
        <v>3</v>
      </c>
      <c r="D55">
        <v>4.8900000000000002E-3</v>
      </c>
      <c r="E55">
        <v>-18</v>
      </c>
      <c r="F55">
        <v>0.84399999999999997</v>
      </c>
      <c r="G55">
        <v>4.9100000000000003E-3</v>
      </c>
      <c r="H55">
        <v>-23.1</v>
      </c>
      <c r="I55">
        <v>0.88200000000000001</v>
      </c>
      <c r="J55">
        <f t="shared" si="0"/>
        <v>-2.0000000000000052E-5</v>
      </c>
      <c r="K55" s="1">
        <f t="shared" si="1"/>
        <v>5.1000000000000014</v>
      </c>
    </row>
    <row r="56" spans="1:11" x14ac:dyDescent="0.25">
      <c r="A56" s="9">
        <v>28226</v>
      </c>
      <c r="B56">
        <v>1</v>
      </c>
      <c r="C56">
        <v>3</v>
      </c>
      <c r="D56">
        <v>4.2199999999999998E-3</v>
      </c>
      <c r="E56">
        <v>-15.9</v>
      </c>
      <c r="F56">
        <v>0.98699999999999999</v>
      </c>
      <c r="G56">
        <v>4.5999999999999999E-3</v>
      </c>
      <c r="H56">
        <v>-6.5</v>
      </c>
      <c r="I56">
        <v>0.98599999999999999</v>
      </c>
      <c r="J56">
        <f t="shared" si="0"/>
        <v>-3.8000000000000013E-4</v>
      </c>
      <c r="K56" s="1">
        <f t="shared" si="1"/>
        <v>-9.4</v>
      </c>
    </row>
    <row r="57" spans="1:11" x14ac:dyDescent="0.25">
      <c r="A57" s="9">
        <v>28474</v>
      </c>
      <c r="B57">
        <v>2</v>
      </c>
      <c r="C57">
        <v>3</v>
      </c>
      <c r="D57">
        <v>3.5699999999999998E-3</v>
      </c>
      <c r="E57">
        <v>-3.8</v>
      </c>
      <c r="F57">
        <v>0.92500000000000004</v>
      </c>
      <c r="G57">
        <v>3.14E-3</v>
      </c>
      <c r="H57">
        <v>-51.2</v>
      </c>
      <c r="I57">
        <v>0.97599999999999998</v>
      </c>
      <c r="J57">
        <f t="shared" si="0"/>
        <v>4.2999999999999983E-4</v>
      </c>
      <c r="K57" s="1">
        <f t="shared" si="1"/>
        <v>47.400000000000006</v>
      </c>
    </row>
    <row r="58" spans="1:11" x14ac:dyDescent="0.25">
      <c r="A58" s="9">
        <v>28572</v>
      </c>
      <c r="B58">
        <v>2</v>
      </c>
      <c r="C58">
        <v>3</v>
      </c>
      <c r="D58">
        <v>1.9E-3</v>
      </c>
      <c r="E58">
        <v>-27.5</v>
      </c>
      <c r="F58">
        <v>0.83399999999999996</v>
      </c>
      <c r="G58">
        <v>4.0699999999999998E-3</v>
      </c>
      <c r="H58">
        <v>-4.5</v>
      </c>
      <c r="I58">
        <v>0.97199999999999998</v>
      </c>
      <c r="J58">
        <f t="shared" si="0"/>
        <v>-2.1700000000000001E-3</v>
      </c>
      <c r="K58" s="1">
        <f t="shared" si="1"/>
        <v>-23</v>
      </c>
    </row>
    <row r="59" spans="1:11" x14ac:dyDescent="0.25">
      <c r="A59" s="9">
        <v>28597</v>
      </c>
      <c r="B59">
        <v>2</v>
      </c>
      <c r="C59">
        <v>3</v>
      </c>
      <c r="D59">
        <v>2.5200000000000001E-3</v>
      </c>
      <c r="E59">
        <v>-114.1</v>
      </c>
      <c r="F59">
        <v>0.23300000000000001</v>
      </c>
      <c r="G59">
        <v>3.5699999999999998E-3</v>
      </c>
      <c r="H59">
        <v>-3.7</v>
      </c>
      <c r="I59">
        <v>0.86899999999999999</v>
      </c>
      <c r="J59">
        <f t="shared" si="0"/>
        <v>-1.0499999999999997E-3</v>
      </c>
      <c r="K59" s="1">
        <f t="shared" si="1"/>
        <v>-110.39999999999999</v>
      </c>
    </row>
    <row r="60" spans="1:11" x14ac:dyDescent="0.25">
      <c r="A60" s="9">
        <v>28608</v>
      </c>
      <c r="B60">
        <v>1</v>
      </c>
      <c r="C60">
        <v>3</v>
      </c>
      <c r="D60">
        <v>3.8899999999999998E-3</v>
      </c>
      <c r="E60">
        <v>-27.3</v>
      </c>
      <c r="F60">
        <v>0.93500000000000005</v>
      </c>
      <c r="G60">
        <v>3.8500000000000001E-3</v>
      </c>
      <c r="H60">
        <v>-27.1</v>
      </c>
      <c r="I60">
        <v>0.91700000000000004</v>
      </c>
      <c r="J60">
        <f t="shared" si="0"/>
        <v>3.9999999999999671E-5</v>
      </c>
      <c r="K60" s="1">
        <f t="shared" si="1"/>
        <v>-0.19999999999999929</v>
      </c>
    </row>
    <row r="61" spans="1:11" x14ac:dyDescent="0.25">
      <c r="A61" s="9">
        <v>28609</v>
      </c>
      <c r="B61">
        <v>1</v>
      </c>
      <c r="C61">
        <v>3</v>
      </c>
      <c r="D61">
        <v>5.7600000000000004E-3</v>
      </c>
      <c r="E61">
        <v>-18.399999999999999</v>
      </c>
      <c r="F61">
        <v>0.94</v>
      </c>
      <c r="G61">
        <v>6.3699999999999998E-3</v>
      </c>
      <c r="H61">
        <v>-17.5</v>
      </c>
      <c r="I61">
        <v>0.98399999999999999</v>
      </c>
      <c r="J61">
        <f t="shared" si="0"/>
        <v>-6.0999999999999943E-4</v>
      </c>
      <c r="K61" s="1">
        <f t="shared" si="1"/>
        <v>-0.89999999999999858</v>
      </c>
    </row>
    <row r="62" spans="1:11" x14ac:dyDescent="0.25">
      <c r="A62" s="9">
        <v>28632</v>
      </c>
      <c r="B62">
        <v>2</v>
      </c>
      <c r="C62">
        <v>3</v>
      </c>
      <c r="D62">
        <v>9.3100000000000006E-3</v>
      </c>
      <c r="E62">
        <v>-28.1</v>
      </c>
      <c r="F62">
        <v>0.9</v>
      </c>
      <c r="G62">
        <v>1.0449999999999999E-2</v>
      </c>
      <c r="H62">
        <v>-25.4</v>
      </c>
      <c r="I62">
        <v>0.94699999999999995</v>
      </c>
      <c r="J62">
        <f t="shared" si="0"/>
        <v>-1.1399999999999987E-3</v>
      </c>
      <c r="K62" s="1">
        <f t="shared" si="1"/>
        <v>-2.7000000000000028</v>
      </c>
    </row>
    <row r="63" spans="1:11" x14ac:dyDescent="0.25">
      <c r="A63" s="9">
        <v>28664</v>
      </c>
      <c r="B63">
        <v>2</v>
      </c>
      <c r="C63">
        <v>3</v>
      </c>
      <c r="D63">
        <v>8.1300000000000001E-3</v>
      </c>
      <c r="E63">
        <v>-22.7</v>
      </c>
      <c r="F63">
        <v>0.92900000000000005</v>
      </c>
      <c r="G63">
        <v>5.9199999999999999E-3</v>
      </c>
      <c r="H63">
        <v>-29.1</v>
      </c>
      <c r="I63">
        <v>0.96699999999999997</v>
      </c>
      <c r="J63">
        <f t="shared" si="0"/>
        <v>2.2100000000000002E-3</v>
      </c>
      <c r="K63" s="1">
        <f t="shared" si="1"/>
        <v>6.4000000000000021</v>
      </c>
    </row>
    <row r="64" spans="1:11" x14ac:dyDescent="0.25">
      <c r="A64" s="9">
        <v>28669</v>
      </c>
      <c r="B64">
        <v>1</v>
      </c>
      <c r="C64">
        <v>3</v>
      </c>
      <c r="D64">
        <v>5.3099999999999996E-3</v>
      </c>
      <c r="E64">
        <v>9</v>
      </c>
      <c r="F64">
        <v>0.90700000000000003</v>
      </c>
      <c r="G64">
        <v>6.1500000000000001E-3</v>
      </c>
      <c r="H64">
        <v>1.8</v>
      </c>
      <c r="I64">
        <v>0.96399999999999997</v>
      </c>
      <c r="J64">
        <f t="shared" si="0"/>
        <v>-8.4000000000000047E-4</v>
      </c>
      <c r="K64" s="1">
        <f t="shared" si="1"/>
        <v>7.2</v>
      </c>
    </row>
    <row r="65" spans="1:11" x14ac:dyDescent="0.25">
      <c r="A65" s="9">
        <v>28873</v>
      </c>
      <c r="B65">
        <v>2</v>
      </c>
      <c r="C65">
        <v>3</v>
      </c>
      <c r="D65">
        <v>4.15E-3</v>
      </c>
      <c r="E65">
        <v>-64</v>
      </c>
      <c r="F65">
        <v>0.51700000000000002</v>
      </c>
      <c r="G65">
        <v>5.5900000000000004E-3</v>
      </c>
      <c r="H65">
        <v>-76.8</v>
      </c>
      <c r="I65">
        <v>0.61</v>
      </c>
      <c r="J65">
        <f t="shared" si="0"/>
        <v>-1.4400000000000003E-3</v>
      </c>
      <c r="K65" s="1">
        <f t="shared" si="1"/>
        <v>12.799999999999997</v>
      </c>
    </row>
    <row r="66" spans="1:11" x14ac:dyDescent="0.25">
      <c r="A66" s="9">
        <v>28904</v>
      </c>
      <c r="B66">
        <v>1</v>
      </c>
      <c r="C66">
        <v>3</v>
      </c>
      <c r="D66">
        <v>8.6499999999999997E-3</v>
      </c>
      <c r="E66">
        <v>-63</v>
      </c>
      <c r="F66">
        <v>0.81899999999999995</v>
      </c>
      <c r="G66">
        <v>5.0600000000000003E-3</v>
      </c>
      <c r="H66">
        <v>-44.2</v>
      </c>
      <c r="I66">
        <v>0.98299999999999998</v>
      </c>
      <c r="J66">
        <f t="shared" si="0"/>
        <v>3.5899999999999994E-3</v>
      </c>
      <c r="K66" s="1">
        <f t="shared" si="1"/>
        <v>-18.799999999999997</v>
      </c>
    </row>
    <row r="67" spans="1:11" x14ac:dyDescent="0.25">
      <c r="A67" s="10">
        <v>28925</v>
      </c>
      <c r="B67" s="2">
        <v>2</v>
      </c>
      <c r="C67" s="2">
        <v>3</v>
      </c>
      <c r="D67" s="2">
        <v>6.3499999999999997E-3</v>
      </c>
      <c r="E67" s="2">
        <v>-11.6</v>
      </c>
      <c r="F67" s="2">
        <v>0.93700000000000006</v>
      </c>
      <c r="G67" s="2">
        <v>5.28E-3</v>
      </c>
      <c r="H67" s="2">
        <v>-8.1999999999999993</v>
      </c>
      <c r="I67" s="2">
        <v>0.96699999999999997</v>
      </c>
      <c r="J67" s="2">
        <f t="shared" ref="J67:J130" si="2">D67-G67</f>
        <v>1.0699999999999998E-3</v>
      </c>
      <c r="K67" s="3">
        <f t="shared" ref="K67:K130" si="3">E67-H67</f>
        <v>-3.4000000000000004</v>
      </c>
    </row>
    <row r="68" spans="1:11" x14ac:dyDescent="0.25">
      <c r="A68" s="9">
        <v>12625</v>
      </c>
      <c r="B68">
        <v>2</v>
      </c>
      <c r="C68">
        <v>4</v>
      </c>
      <c r="D68">
        <v>2.32E-3</v>
      </c>
      <c r="E68">
        <v>-8.8000000000000007</v>
      </c>
      <c r="F68">
        <v>0.48799999999999999</v>
      </c>
      <c r="G68">
        <v>8.77E-3</v>
      </c>
      <c r="H68">
        <v>-58.2</v>
      </c>
      <c r="I68">
        <v>0.622</v>
      </c>
      <c r="J68">
        <f t="shared" si="2"/>
        <v>-6.45E-3</v>
      </c>
      <c r="K68" s="1">
        <f t="shared" si="3"/>
        <v>49.400000000000006</v>
      </c>
    </row>
    <row r="69" spans="1:11" x14ac:dyDescent="0.25">
      <c r="A69" s="9">
        <v>15072</v>
      </c>
      <c r="B69">
        <v>1</v>
      </c>
      <c r="C69">
        <v>4</v>
      </c>
      <c r="D69">
        <v>8.2900000000000005E-3</v>
      </c>
      <c r="E69">
        <v>-19.8</v>
      </c>
      <c r="F69">
        <v>0.95399999999999996</v>
      </c>
      <c r="G69">
        <v>6.94E-3</v>
      </c>
      <c r="H69">
        <v>-30.2</v>
      </c>
      <c r="I69">
        <v>0.75</v>
      </c>
      <c r="J69">
        <f t="shared" si="2"/>
        <v>1.3500000000000005E-3</v>
      </c>
      <c r="K69" s="1">
        <f t="shared" si="3"/>
        <v>10.399999999999999</v>
      </c>
    </row>
    <row r="70" spans="1:11" x14ac:dyDescent="0.25">
      <c r="A70" s="9">
        <v>16418</v>
      </c>
      <c r="B70">
        <v>1</v>
      </c>
      <c r="C70">
        <v>4</v>
      </c>
      <c r="D70">
        <v>8.6E-3</v>
      </c>
      <c r="E70">
        <v>-22.1</v>
      </c>
      <c r="F70">
        <v>0.93500000000000005</v>
      </c>
      <c r="G70">
        <v>5.7200000000000003E-3</v>
      </c>
      <c r="H70">
        <v>-16.600000000000001</v>
      </c>
      <c r="I70">
        <v>0.96</v>
      </c>
      <c r="J70">
        <f t="shared" si="2"/>
        <v>2.8799999999999997E-3</v>
      </c>
      <c r="K70" s="1">
        <f t="shared" si="3"/>
        <v>-5.5</v>
      </c>
    </row>
    <row r="71" spans="1:11" x14ac:dyDescent="0.25">
      <c r="A71" s="9">
        <v>21605</v>
      </c>
      <c r="B71">
        <v>1</v>
      </c>
      <c r="C71">
        <v>4</v>
      </c>
      <c r="D71">
        <v>1.1209999999999999E-2</v>
      </c>
      <c r="E71">
        <v>1.7</v>
      </c>
      <c r="F71">
        <v>0.91600000000000004</v>
      </c>
      <c r="G71">
        <v>1.7099999999999999E-3</v>
      </c>
      <c r="H71">
        <v>94.6</v>
      </c>
      <c r="I71">
        <v>0.433</v>
      </c>
      <c r="J71">
        <f t="shared" si="2"/>
        <v>9.4999999999999998E-3</v>
      </c>
      <c r="K71" s="1">
        <f t="shared" si="3"/>
        <v>-92.899999999999991</v>
      </c>
    </row>
    <row r="72" spans="1:11" x14ac:dyDescent="0.25">
      <c r="A72" s="9">
        <v>22060</v>
      </c>
      <c r="B72">
        <v>2</v>
      </c>
      <c r="C72">
        <v>4</v>
      </c>
      <c r="D72">
        <v>8.5599999999999999E-3</v>
      </c>
      <c r="E72">
        <v>-14</v>
      </c>
      <c r="F72">
        <v>0.90200000000000002</v>
      </c>
      <c r="G72">
        <v>4.7999999999999996E-3</v>
      </c>
      <c r="H72">
        <v>-27.1</v>
      </c>
      <c r="I72">
        <v>0.94</v>
      </c>
      <c r="J72">
        <f t="shared" si="2"/>
        <v>3.7600000000000003E-3</v>
      </c>
      <c r="K72" s="1">
        <f t="shared" si="3"/>
        <v>13.100000000000001</v>
      </c>
    </row>
    <row r="73" spans="1:11" x14ac:dyDescent="0.25">
      <c r="A73" s="9">
        <v>24465</v>
      </c>
      <c r="B73">
        <v>1</v>
      </c>
      <c r="C73">
        <v>4</v>
      </c>
      <c r="D73">
        <v>6.4700000000000001E-3</v>
      </c>
      <c r="E73">
        <v>-12.4</v>
      </c>
      <c r="F73">
        <v>0.77900000000000003</v>
      </c>
      <c r="G73">
        <v>6.1799999999999997E-3</v>
      </c>
      <c r="H73">
        <v>14.9</v>
      </c>
      <c r="I73">
        <v>0.93200000000000005</v>
      </c>
      <c r="J73">
        <f t="shared" si="2"/>
        <v>2.9000000000000033E-4</v>
      </c>
      <c r="K73" s="1">
        <f t="shared" si="3"/>
        <v>-27.3</v>
      </c>
    </row>
    <row r="74" spans="1:11" x14ac:dyDescent="0.25">
      <c r="A74" s="9">
        <v>24687</v>
      </c>
      <c r="B74">
        <v>2</v>
      </c>
      <c r="C74">
        <v>4</v>
      </c>
      <c r="D74">
        <v>1.2500000000000001E-2</v>
      </c>
      <c r="E74">
        <v>-12.6</v>
      </c>
      <c r="F74">
        <v>0.92900000000000005</v>
      </c>
      <c r="G74">
        <v>1.009E-2</v>
      </c>
      <c r="H74">
        <v>-22.3</v>
      </c>
      <c r="I74">
        <v>0.95099999999999996</v>
      </c>
      <c r="J74">
        <f t="shared" si="2"/>
        <v>2.4100000000000007E-3</v>
      </c>
      <c r="K74" s="1">
        <f t="shared" si="3"/>
        <v>9.7000000000000011</v>
      </c>
    </row>
    <row r="75" spans="1:11" x14ac:dyDescent="0.25">
      <c r="A75" s="9">
        <v>25121</v>
      </c>
      <c r="B75">
        <v>2</v>
      </c>
      <c r="C75">
        <v>4</v>
      </c>
      <c r="D75">
        <v>7.79E-3</v>
      </c>
      <c r="E75">
        <v>-15</v>
      </c>
      <c r="F75">
        <v>0.97499999999999998</v>
      </c>
      <c r="G75">
        <v>7.4099999999999999E-3</v>
      </c>
      <c r="H75">
        <v>-14.1</v>
      </c>
      <c r="I75">
        <v>0.97899999999999998</v>
      </c>
      <c r="J75">
        <f t="shared" si="2"/>
        <v>3.8000000000000013E-4</v>
      </c>
      <c r="K75" s="1">
        <f t="shared" si="3"/>
        <v>-0.90000000000000036</v>
      </c>
    </row>
    <row r="76" spans="1:11" x14ac:dyDescent="0.25">
      <c r="A76" s="9">
        <v>25463</v>
      </c>
      <c r="B76">
        <v>2</v>
      </c>
      <c r="C76">
        <v>4</v>
      </c>
      <c r="D76">
        <v>2.3999999999999998E-3</v>
      </c>
      <c r="E76">
        <v>-92.6</v>
      </c>
      <c r="F76">
        <v>0.82799999999999996</v>
      </c>
      <c r="G76">
        <v>2.2100000000000002E-3</v>
      </c>
      <c r="H76">
        <v>-2.8</v>
      </c>
      <c r="I76">
        <v>0.85099999999999998</v>
      </c>
      <c r="J76">
        <f t="shared" si="2"/>
        <v>1.8999999999999963E-4</v>
      </c>
      <c r="K76" s="1">
        <f t="shared" si="3"/>
        <v>-89.8</v>
      </c>
    </row>
    <row r="77" spans="1:11" x14ac:dyDescent="0.25">
      <c r="A77" s="9">
        <v>25724</v>
      </c>
      <c r="B77">
        <v>1</v>
      </c>
      <c r="C77">
        <v>4</v>
      </c>
      <c r="D77">
        <v>3.8300000000000001E-3</v>
      </c>
      <c r="E77">
        <v>-29.3</v>
      </c>
      <c r="F77">
        <v>0.754</v>
      </c>
      <c r="G77">
        <v>4.3600000000000002E-3</v>
      </c>
      <c r="H77">
        <v>-19.2</v>
      </c>
      <c r="I77">
        <v>0.91</v>
      </c>
      <c r="J77">
        <f t="shared" si="2"/>
        <v>-5.3000000000000009E-4</v>
      </c>
      <c r="K77" s="1">
        <f t="shared" si="3"/>
        <v>-10.100000000000001</v>
      </c>
    </row>
    <row r="78" spans="1:11" x14ac:dyDescent="0.25">
      <c r="A78" s="9">
        <v>28226</v>
      </c>
      <c r="B78">
        <v>1</v>
      </c>
      <c r="C78">
        <v>4</v>
      </c>
      <c r="D78">
        <v>4.3099999999999996E-3</v>
      </c>
      <c r="E78">
        <v>-9.5</v>
      </c>
      <c r="F78">
        <v>0.98399999999999999</v>
      </c>
      <c r="G78">
        <v>4.1599999999999996E-3</v>
      </c>
      <c r="H78">
        <v>4.5999999999999996</v>
      </c>
      <c r="I78">
        <v>0.98299999999999998</v>
      </c>
      <c r="J78">
        <f t="shared" si="2"/>
        <v>1.4999999999999996E-4</v>
      </c>
      <c r="K78" s="1">
        <f t="shared" si="3"/>
        <v>-14.1</v>
      </c>
    </row>
    <row r="79" spans="1:11" x14ac:dyDescent="0.25">
      <c r="A79" s="9">
        <v>28474</v>
      </c>
      <c r="B79">
        <v>2</v>
      </c>
      <c r="C79">
        <v>4</v>
      </c>
      <c r="D79">
        <v>3.7000000000000002E-3</v>
      </c>
      <c r="E79">
        <v>-5.7</v>
      </c>
      <c r="F79">
        <v>0.90700000000000003</v>
      </c>
      <c r="G79">
        <v>3.0999999999999999E-3</v>
      </c>
      <c r="H79">
        <v>-51.4</v>
      </c>
      <c r="I79">
        <v>0.97699999999999998</v>
      </c>
      <c r="J79">
        <f t="shared" si="2"/>
        <v>6.0000000000000027E-4</v>
      </c>
      <c r="K79" s="1">
        <f t="shared" si="3"/>
        <v>45.699999999999996</v>
      </c>
    </row>
    <row r="80" spans="1:11" x14ac:dyDescent="0.25">
      <c r="A80" s="9">
        <v>28572</v>
      </c>
      <c r="B80">
        <v>2</v>
      </c>
      <c r="C80">
        <v>4</v>
      </c>
      <c r="D80">
        <v>1.98E-3</v>
      </c>
      <c r="E80">
        <v>-28.9</v>
      </c>
      <c r="F80">
        <v>0.89500000000000002</v>
      </c>
      <c r="G80">
        <v>3.4099999999999998E-3</v>
      </c>
      <c r="H80">
        <v>3.2</v>
      </c>
      <c r="I80">
        <v>0.97099999999999997</v>
      </c>
      <c r="J80">
        <f t="shared" si="2"/>
        <v>-1.4299999999999998E-3</v>
      </c>
      <c r="K80" s="1">
        <f t="shared" si="3"/>
        <v>-32.1</v>
      </c>
    </row>
    <row r="81" spans="1:11" x14ac:dyDescent="0.25">
      <c r="A81" s="9">
        <v>28597</v>
      </c>
      <c r="B81">
        <v>2</v>
      </c>
      <c r="C81">
        <v>4</v>
      </c>
      <c r="D81">
        <v>2.2000000000000001E-3</v>
      </c>
      <c r="E81">
        <v>-48.9</v>
      </c>
      <c r="F81">
        <v>0.222</v>
      </c>
      <c r="G81">
        <v>4.3200000000000001E-3</v>
      </c>
      <c r="H81">
        <v>7.1</v>
      </c>
      <c r="I81">
        <v>0.76100000000000001</v>
      </c>
      <c r="J81">
        <f t="shared" si="2"/>
        <v>-2.1199999999999999E-3</v>
      </c>
      <c r="K81" s="1">
        <f t="shared" si="3"/>
        <v>-56</v>
      </c>
    </row>
    <row r="82" spans="1:11" x14ac:dyDescent="0.25">
      <c r="A82" s="9">
        <v>28608</v>
      </c>
      <c r="B82">
        <v>1</v>
      </c>
      <c r="C82">
        <v>4</v>
      </c>
      <c r="D82">
        <v>3.7799999999999999E-3</v>
      </c>
      <c r="E82">
        <v>-20.8</v>
      </c>
      <c r="F82">
        <v>0.92600000000000005</v>
      </c>
      <c r="G82">
        <v>3.8999999999999998E-3</v>
      </c>
      <c r="H82">
        <v>-27.3</v>
      </c>
      <c r="I82">
        <v>0.876</v>
      </c>
      <c r="J82">
        <f t="shared" si="2"/>
        <v>-1.1999999999999988E-4</v>
      </c>
      <c r="K82" s="1">
        <f t="shared" si="3"/>
        <v>6.5</v>
      </c>
    </row>
    <row r="83" spans="1:11" x14ac:dyDescent="0.25">
      <c r="A83" s="9">
        <v>28609</v>
      </c>
      <c r="B83">
        <v>1</v>
      </c>
      <c r="C83">
        <v>4</v>
      </c>
      <c r="D83">
        <v>5.1599999999999997E-3</v>
      </c>
      <c r="E83">
        <v>-20</v>
      </c>
      <c r="F83">
        <v>0.97499999999999998</v>
      </c>
      <c r="G83">
        <v>5.6899999999999997E-3</v>
      </c>
      <c r="H83">
        <v>-22.9</v>
      </c>
      <c r="I83">
        <v>0.98699999999999999</v>
      </c>
      <c r="J83">
        <f t="shared" si="2"/>
        <v>-5.3000000000000009E-4</v>
      </c>
      <c r="K83" s="1">
        <f t="shared" si="3"/>
        <v>2.8999999999999986</v>
      </c>
    </row>
    <row r="84" spans="1:11" x14ac:dyDescent="0.25">
      <c r="A84" s="9">
        <v>28632</v>
      </c>
      <c r="B84">
        <v>2</v>
      </c>
      <c r="C84">
        <v>4</v>
      </c>
      <c r="D84">
        <v>7.8600000000000007E-3</v>
      </c>
      <c r="E84">
        <v>-28.8</v>
      </c>
      <c r="F84">
        <v>0.82699999999999996</v>
      </c>
      <c r="G84">
        <v>1.1860000000000001E-2</v>
      </c>
      <c r="H84">
        <v>-11.6</v>
      </c>
      <c r="I84">
        <v>0.95</v>
      </c>
      <c r="J84">
        <f t="shared" si="2"/>
        <v>-4.0000000000000001E-3</v>
      </c>
      <c r="K84" s="1">
        <f t="shared" si="3"/>
        <v>-17.200000000000003</v>
      </c>
    </row>
    <row r="85" spans="1:11" x14ac:dyDescent="0.25">
      <c r="A85" s="9">
        <v>28664</v>
      </c>
      <c r="B85">
        <v>2</v>
      </c>
      <c r="C85">
        <v>4</v>
      </c>
      <c r="D85">
        <v>6.4999999999999997E-3</v>
      </c>
      <c r="E85">
        <v>-19.2</v>
      </c>
      <c r="F85">
        <v>0.94099999999999995</v>
      </c>
      <c r="G85">
        <v>5.4999999999999997E-3</v>
      </c>
      <c r="H85">
        <v>-20.100000000000001</v>
      </c>
      <c r="I85">
        <v>0.95799999999999996</v>
      </c>
      <c r="J85">
        <f t="shared" si="2"/>
        <v>1E-3</v>
      </c>
      <c r="K85" s="1">
        <f t="shared" si="3"/>
        <v>0.90000000000000213</v>
      </c>
    </row>
    <row r="86" spans="1:11" x14ac:dyDescent="0.25">
      <c r="A86" s="9">
        <v>28669</v>
      </c>
      <c r="B86">
        <v>1</v>
      </c>
      <c r="C86">
        <v>4</v>
      </c>
      <c r="D86">
        <v>5.6800000000000002E-3</v>
      </c>
      <c r="E86">
        <v>-2.9</v>
      </c>
      <c r="F86">
        <v>0.9</v>
      </c>
      <c r="G86">
        <v>5.79E-3</v>
      </c>
      <c r="H86">
        <v>0.67</v>
      </c>
      <c r="I86">
        <v>0.96199999999999997</v>
      </c>
      <c r="J86">
        <f t="shared" si="2"/>
        <v>-1.0999999999999985E-4</v>
      </c>
      <c r="K86" s="1">
        <f t="shared" si="3"/>
        <v>-3.57</v>
      </c>
    </row>
    <row r="87" spans="1:11" x14ac:dyDescent="0.25">
      <c r="A87" s="9">
        <v>28873</v>
      </c>
      <c r="B87">
        <v>2</v>
      </c>
      <c r="C87">
        <v>4</v>
      </c>
      <c r="D87">
        <v>3.8E-3</v>
      </c>
      <c r="E87">
        <v>-58.4</v>
      </c>
      <c r="F87">
        <v>0.48599999999999999</v>
      </c>
      <c r="G87">
        <v>6.8399999999999997E-3</v>
      </c>
      <c r="H87">
        <v>-73.7</v>
      </c>
      <c r="I87">
        <v>0.58899999999999997</v>
      </c>
      <c r="J87">
        <f t="shared" si="2"/>
        <v>-3.0399999999999997E-3</v>
      </c>
      <c r="K87" s="1">
        <f t="shared" si="3"/>
        <v>15.300000000000004</v>
      </c>
    </row>
    <row r="88" spans="1:11" x14ac:dyDescent="0.25">
      <c r="A88" s="9">
        <v>28904</v>
      </c>
      <c r="B88">
        <v>1</v>
      </c>
      <c r="C88">
        <v>4</v>
      </c>
      <c r="D88">
        <v>7.2300000000000003E-3</v>
      </c>
      <c r="E88">
        <v>-50.6</v>
      </c>
      <c r="F88">
        <v>0.84899999999999998</v>
      </c>
      <c r="G88">
        <v>3.8899999999999998E-3</v>
      </c>
      <c r="H88">
        <v>-29.5</v>
      </c>
      <c r="I88">
        <v>0.97699999999999998</v>
      </c>
      <c r="J88">
        <f t="shared" si="2"/>
        <v>3.3400000000000005E-3</v>
      </c>
      <c r="K88" s="1">
        <f t="shared" si="3"/>
        <v>-21.1</v>
      </c>
    </row>
    <row r="89" spans="1:11" x14ac:dyDescent="0.25">
      <c r="A89" s="10">
        <v>28925</v>
      </c>
      <c r="B89" s="2">
        <v>2</v>
      </c>
      <c r="C89" s="2">
        <v>4</v>
      </c>
      <c r="D89" s="2">
        <v>5.3699999999999998E-3</v>
      </c>
      <c r="E89" s="2">
        <v>-18.5</v>
      </c>
      <c r="F89" s="2">
        <v>0.92</v>
      </c>
      <c r="G89" s="2">
        <v>4.9399999999999999E-3</v>
      </c>
      <c r="H89" s="2">
        <v>0.436</v>
      </c>
      <c r="I89" s="2">
        <v>0.95199999999999996</v>
      </c>
      <c r="J89" s="2">
        <f t="shared" si="2"/>
        <v>4.2999999999999983E-4</v>
      </c>
      <c r="K89" s="3">
        <f t="shared" si="3"/>
        <v>-18.936</v>
      </c>
    </row>
    <row r="90" spans="1:11" x14ac:dyDescent="0.25">
      <c r="A90" s="9">
        <v>12625</v>
      </c>
      <c r="B90">
        <v>2</v>
      </c>
      <c r="C90">
        <v>5</v>
      </c>
      <c r="D90">
        <v>6.9199999999999999E-3</v>
      </c>
      <c r="E90">
        <v>36.6</v>
      </c>
      <c r="F90">
        <v>0.57999999999999996</v>
      </c>
      <c r="G90">
        <v>5.64E-3</v>
      </c>
      <c r="H90">
        <v>-10.9</v>
      </c>
      <c r="I90">
        <v>0.57499999999999996</v>
      </c>
      <c r="J90">
        <f t="shared" si="2"/>
        <v>1.2799999999999999E-3</v>
      </c>
      <c r="K90" s="1">
        <f t="shared" si="3"/>
        <v>47.5</v>
      </c>
    </row>
    <row r="91" spans="1:11" x14ac:dyDescent="0.25">
      <c r="A91" s="9">
        <v>15072</v>
      </c>
      <c r="B91">
        <v>1</v>
      </c>
      <c r="C91">
        <v>5</v>
      </c>
      <c r="D91">
        <v>8.5000000000000006E-3</v>
      </c>
      <c r="E91">
        <v>6.4</v>
      </c>
      <c r="F91">
        <v>0.877</v>
      </c>
      <c r="G91">
        <v>4.7200000000000002E-3</v>
      </c>
      <c r="H91">
        <v>-4.8</v>
      </c>
      <c r="I91">
        <v>0.77500000000000002</v>
      </c>
      <c r="J91">
        <f t="shared" si="2"/>
        <v>3.7800000000000004E-3</v>
      </c>
      <c r="K91" s="1">
        <f t="shared" si="3"/>
        <v>11.2</v>
      </c>
    </row>
    <row r="92" spans="1:11" x14ac:dyDescent="0.25">
      <c r="A92" s="9">
        <v>16418</v>
      </c>
      <c r="B92">
        <v>1</v>
      </c>
      <c r="C92">
        <v>5</v>
      </c>
      <c r="D92">
        <v>9.9100000000000004E-3</v>
      </c>
      <c r="E92">
        <v>-29.4</v>
      </c>
      <c r="F92">
        <v>0.94899999999999995</v>
      </c>
      <c r="G92">
        <v>5.96E-3</v>
      </c>
      <c r="H92">
        <v>-13.3</v>
      </c>
      <c r="I92">
        <v>0.90700000000000003</v>
      </c>
      <c r="J92">
        <f t="shared" si="2"/>
        <v>3.9500000000000004E-3</v>
      </c>
      <c r="K92" s="1">
        <f t="shared" si="3"/>
        <v>-16.099999999999998</v>
      </c>
    </row>
    <row r="93" spans="1:11" x14ac:dyDescent="0.25">
      <c r="A93" s="9">
        <v>21605</v>
      </c>
      <c r="B93">
        <v>1</v>
      </c>
      <c r="C93">
        <v>5</v>
      </c>
      <c r="D93">
        <v>8.0400000000000003E-3</v>
      </c>
      <c r="E93">
        <v>1.4</v>
      </c>
      <c r="F93">
        <v>0.93600000000000005</v>
      </c>
      <c r="G93">
        <v>2.5600000000000002E-3</v>
      </c>
      <c r="H93">
        <v>52.3</v>
      </c>
      <c r="I93">
        <v>0.81</v>
      </c>
      <c r="J93">
        <f t="shared" si="2"/>
        <v>5.4800000000000005E-3</v>
      </c>
      <c r="K93" s="1">
        <f t="shared" si="3"/>
        <v>-50.9</v>
      </c>
    </row>
    <row r="94" spans="1:11" x14ac:dyDescent="0.25">
      <c r="A94" s="9">
        <v>22060</v>
      </c>
      <c r="B94">
        <v>2</v>
      </c>
      <c r="C94">
        <v>5</v>
      </c>
      <c r="D94">
        <v>8.9200000000000008E-3</v>
      </c>
      <c r="E94">
        <v>0.4</v>
      </c>
      <c r="F94">
        <v>0.94499999999999995</v>
      </c>
      <c r="G94">
        <v>4.28E-3</v>
      </c>
      <c r="H94">
        <v>-14.8</v>
      </c>
      <c r="I94">
        <v>0.95299999999999996</v>
      </c>
      <c r="J94">
        <f t="shared" si="2"/>
        <v>4.6400000000000009E-3</v>
      </c>
      <c r="K94" s="1">
        <f t="shared" si="3"/>
        <v>15.200000000000001</v>
      </c>
    </row>
    <row r="95" spans="1:11" x14ac:dyDescent="0.25">
      <c r="A95" s="9">
        <v>24465</v>
      </c>
      <c r="B95">
        <v>1</v>
      </c>
      <c r="C95">
        <v>5</v>
      </c>
      <c r="D95">
        <v>5.11E-3</v>
      </c>
      <c r="E95">
        <v>-10.5</v>
      </c>
      <c r="F95">
        <v>0.79600000000000004</v>
      </c>
      <c r="G95">
        <v>4.4400000000000004E-3</v>
      </c>
      <c r="H95">
        <v>35.5</v>
      </c>
      <c r="I95">
        <v>0.8</v>
      </c>
      <c r="J95">
        <f t="shared" si="2"/>
        <v>6.6999999999999959E-4</v>
      </c>
      <c r="K95" s="1">
        <f t="shared" si="3"/>
        <v>-46</v>
      </c>
    </row>
    <row r="96" spans="1:11" x14ac:dyDescent="0.25">
      <c r="A96" s="9">
        <v>24687</v>
      </c>
      <c r="B96">
        <v>2</v>
      </c>
      <c r="C96">
        <v>5</v>
      </c>
      <c r="D96">
        <v>9.9000000000000008E-3</v>
      </c>
      <c r="E96">
        <v>17</v>
      </c>
      <c r="F96">
        <v>0.91700000000000004</v>
      </c>
      <c r="G96">
        <v>7.7400000000000004E-3</v>
      </c>
      <c r="H96">
        <v>-14.4</v>
      </c>
      <c r="I96">
        <v>0.94399999999999995</v>
      </c>
      <c r="J96">
        <f t="shared" si="2"/>
        <v>2.1600000000000005E-3</v>
      </c>
      <c r="K96" s="1">
        <f t="shared" si="3"/>
        <v>31.4</v>
      </c>
    </row>
    <row r="97" spans="1:11" x14ac:dyDescent="0.25">
      <c r="A97" s="9">
        <v>25121</v>
      </c>
      <c r="B97">
        <v>2</v>
      </c>
      <c r="C97">
        <v>5</v>
      </c>
      <c r="D97">
        <v>8.5900000000000004E-3</v>
      </c>
      <c r="E97">
        <v>-5.4</v>
      </c>
      <c r="F97">
        <v>0.98399999999999999</v>
      </c>
      <c r="G97">
        <v>8.3300000000000006E-3</v>
      </c>
      <c r="H97">
        <v>-5.5</v>
      </c>
      <c r="I97">
        <v>0.95199999999999996</v>
      </c>
      <c r="J97">
        <f t="shared" si="2"/>
        <v>2.5999999999999981E-4</v>
      </c>
      <c r="K97" s="1">
        <f t="shared" si="3"/>
        <v>9.9999999999999645E-2</v>
      </c>
    </row>
    <row r="98" spans="1:11" x14ac:dyDescent="0.25">
      <c r="A98" s="9">
        <v>25463</v>
      </c>
      <c r="B98">
        <v>2</v>
      </c>
      <c r="C98">
        <v>5</v>
      </c>
      <c r="D98">
        <v>2.7200000000000002E-3</v>
      </c>
      <c r="E98">
        <v>51.8</v>
      </c>
      <c r="F98">
        <v>0.94399999999999995</v>
      </c>
      <c r="G98">
        <v>2.2799999999999999E-3</v>
      </c>
      <c r="H98">
        <v>-49.7</v>
      </c>
      <c r="I98">
        <v>0.83799999999999997</v>
      </c>
      <c r="J98">
        <f t="shared" si="2"/>
        <v>4.4000000000000029E-4</v>
      </c>
      <c r="K98" s="1">
        <f t="shared" si="3"/>
        <v>101.5</v>
      </c>
    </row>
    <row r="99" spans="1:11" x14ac:dyDescent="0.25">
      <c r="A99" s="9">
        <v>25724</v>
      </c>
      <c r="B99">
        <v>1</v>
      </c>
      <c r="C99">
        <v>5</v>
      </c>
      <c r="D99">
        <v>5.2900000000000004E-3</v>
      </c>
      <c r="E99">
        <v>-54.7</v>
      </c>
      <c r="F99">
        <v>0.47699999999999998</v>
      </c>
      <c r="G99">
        <v>2.4499999999999999E-3</v>
      </c>
      <c r="H99">
        <v>38.200000000000003</v>
      </c>
      <c r="I99">
        <v>0.59199999999999997</v>
      </c>
      <c r="J99">
        <f t="shared" si="2"/>
        <v>2.8400000000000005E-3</v>
      </c>
      <c r="K99" s="1">
        <f t="shared" si="3"/>
        <v>-92.9</v>
      </c>
    </row>
    <row r="100" spans="1:11" x14ac:dyDescent="0.25">
      <c r="A100" s="9">
        <v>28226</v>
      </c>
      <c r="B100">
        <v>1</v>
      </c>
      <c r="C100">
        <v>5</v>
      </c>
      <c r="D100">
        <v>4.1900000000000001E-3</v>
      </c>
      <c r="E100">
        <v>-0.1</v>
      </c>
      <c r="F100">
        <v>0.98299999999999998</v>
      </c>
      <c r="G100">
        <v>4.96E-3</v>
      </c>
      <c r="H100">
        <v>-9.6999999999999993</v>
      </c>
      <c r="I100">
        <v>0.98899999999999999</v>
      </c>
      <c r="J100">
        <f t="shared" si="2"/>
        <v>-7.6999999999999985E-4</v>
      </c>
      <c r="K100" s="1">
        <f t="shared" si="3"/>
        <v>9.6</v>
      </c>
    </row>
    <row r="101" spans="1:11" x14ac:dyDescent="0.25">
      <c r="A101" s="9">
        <v>28474</v>
      </c>
      <c r="B101">
        <v>2</v>
      </c>
      <c r="C101">
        <v>5</v>
      </c>
      <c r="D101">
        <v>4.4299999999999999E-3</v>
      </c>
      <c r="E101">
        <v>10.199999999999999</v>
      </c>
      <c r="F101">
        <v>0.94299999999999995</v>
      </c>
      <c r="G101">
        <v>2.2699999999999999E-3</v>
      </c>
      <c r="H101">
        <v>-18.600000000000001</v>
      </c>
      <c r="I101">
        <v>0.78600000000000003</v>
      </c>
      <c r="J101">
        <f t="shared" si="2"/>
        <v>2.16E-3</v>
      </c>
      <c r="K101" s="1">
        <f t="shared" si="3"/>
        <v>28.8</v>
      </c>
    </row>
    <row r="102" spans="1:11" x14ac:dyDescent="0.25">
      <c r="A102" s="9">
        <v>28572</v>
      </c>
      <c r="B102">
        <v>2</v>
      </c>
      <c r="C102">
        <v>5</v>
      </c>
      <c r="D102">
        <v>2.2899999999999999E-3</v>
      </c>
      <c r="E102">
        <v>-15.9</v>
      </c>
      <c r="F102">
        <v>0.877</v>
      </c>
      <c r="G102">
        <v>4.64E-3</v>
      </c>
      <c r="H102">
        <v>-1.8</v>
      </c>
      <c r="I102">
        <v>0.94599999999999995</v>
      </c>
      <c r="J102">
        <f t="shared" si="2"/>
        <v>-2.3500000000000001E-3</v>
      </c>
      <c r="K102" s="1">
        <f t="shared" si="3"/>
        <v>-14.1</v>
      </c>
    </row>
    <row r="103" spans="1:11" x14ac:dyDescent="0.25">
      <c r="A103" s="9">
        <v>28597</v>
      </c>
      <c r="B103">
        <v>2</v>
      </c>
      <c r="C103">
        <v>5</v>
      </c>
      <c r="D103">
        <v>2.2300000000000002E-3</v>
      </c>
      <c r="E103">
        <v>10.4</v>
      </c>
      <c r="F103">
        <v>0.48899999999999999</v>
      </c>
      <c r="G103">
        <v>3.5899999999999999E-3</v>
      </c>
      <c r="H103">
        <v>32.9</v>
      </c>
      <c r="I103">
        <v>0.82799999999999996</v>
      </c>
      <c r="J103">
        <f t="shared" si="2"/>
        <v>-1.3599999999999997E-3</v>
      </c>
      <c r="K103" s="1">
        <f t="shared" si="3"/>
        <v>-22.5</v>
      </c>
    </row>
    <row r="104" spans="1:11" x14ac:dyDescent="0.25">
      <c r="A104" s="9">
        <v>28608</v>
      </c>
      <c r="B104">
        <v>1</v>
      </c>
      <c r="C104">
        <v>5</v>
      </c>
      <c r="D104">
        <v>6.4200000000000004E-3</v>
      </c>
      <c r="E104">
        <v>-18.7</v>
      </c>
      <c r="F104">
        <v>0.93400000000000005</v>
      </c>
      <c r="G104">
        <v>5.9199999999999999E-3</v>
      </c>
      <c r="H104">
        <v>-25.7</v>
      </c>
      <c r="I104">
        <v>0.95599999999999996</v>
      </c>
      <c r="J104">
        <f t="shared" si="2"/>
        <v>5.0000000000000044E-4</v>
      </c>
      <c r="K104" s="1">
        <f t="shared" si="3"/>
        <v>7</v>
      </c>
    </row>
    <row r="105" spans="1:11" x14ac:dyDescent="0.25">
      <c r="A105" s="9">
        <v>28609</v>
      </c>
      <c r="B105">
        <v>1</v>
      </c>
      <c r="C105">
        <v>5</v>
      </c>
      <c r="D105">
        <v>5.47E-3</v>
      </c>
      <c r="E105">
        <v>5.4</v>
      </c>
      <c r="F105">
        <v>0.94699999999999995</v>
      </c>
      <c r="G105">
        <v>5.62E-3</v>
      </c>
      <c r="H105">
        <v>3.5</v>
      </c>
      <c r="I105">
        <v>0.98399999999999999</v>
      </c>
      <c r="J105">
        <f t="shared" si="2"/>
        <v>-1.4999999999999996E-4</v>
      </c>
      <c r="K105" s="1">
        <f t="shared" si="3"/>
        <v>1.9000000000000004</v>
      </c>
    </row>
    <row r="106" spans="1:11" x14ac:dyDescent="0.25">
      <c r="A106" s="9">
        <v>28632</v>
      </c>
      <c r="B106">
        <v>2</v>
      </c>
      <c r="C106">
        <v>5</v>
      </c>
      <c r="D106">
        <v>8.6099999999999996E-3</v>
      </c>
      <c r="E106">
        <v>1.3</v>
      </c>
      <c r="F106">
        <v>0.81499999999999995</v>
      </c>
      <c r="G106">
        <v>9.4500000000000001E-3</v>
      </c>
      <c r="H106">
        <v>8.1</v>
      </c>
      <c r="I106">
        <v>0.94299999999999995</v>
      </c>
      <c r="J106">
        <f t="shared" si="2"/>
        <v>-8.4000000000000047E-4</v>
      </c>
      <c r="K106" s="1">
        <f t="shared" si="3"/>
        <v>-6.8</v>
      </c>
    </row>
    <row r="107" spans="1:11" x14ac:dyDescent="0.25">
      <c r="A107" s="9">
        <v>28664</v>
      </c>
      <c r="B107">
        <v>2</v>
      </c>
      <c r="C107">
        <v>5</v>
      </c>
      <c r="D107">
        <v>6.0400000000000002E-3</v>
      </c>
      <c r="E107">
        <v>-15.4</v>
      </c>
      <c r="F107">
        <v>0.95799999999999996</v>
      </c>
      <c r="G107">
        <v>3.2399999999999998E-3</v>
      </c>
      <c r="H107">
        <v>-34.200000000000003</v>
      </c>
      <c r="I107">
        <v>0.96399999999999997</v>
      </c>
      <c r="J107">
        <f t="shared" si="2"/>
        <v>2.8000000000000004E-3</v>
      </c>
      <c r="K107" s="1">
        <f t="shared" si="3"/>
        <v>18.800000000000004</v>
      </c>
    </row>
    <row r="108" spans="1:11" x14ac:dyDescent="0.25">
      <c r="A108" s="9">
        <v>28669</v>
      </c>
      <c r="B108">
        <v>1</v>
      </c>
      <c r="C108">
        <v>5</v>
      </c>
      <c r="D108">
        <v>4.0000000000000001E-3</v>
      </c>
      <c r="E108">
        <v>37.299999999999997</v>
      </c>
      <c r="F108">
        <v>0.88300000000000001</v>
      </c>
      <c r="G108">
        <v>5.1700000000000001E-3</v>
      </c>
      <c r="H108">
        <v>38.6</v>
      </c>
      <c r="I108">
        <v>0.96599999999999997</v>
      </c>
      <c r="J108">
        <f t="shared" si="2"/>
        <v>-1.17E-3</v>
      </c>
      <c r="K108" s="1">
        <f t="shared" si="3"/>
        <v>-1.3000000000000043</v>
      </c>
    </row>
    <row r="109" spans="1:11" x14ac:dyDescent="0.25">
      <c r="A109" s="9">
        <v>28873</v>
      </c>
      <c r="B109">
        <v>2</v>
      </c>
      <c r="C109">
        <v>5</v>
      </c>
      <c r="D109">
        <v>5.7999999999999996E-3</v>
      </c>
      <c r="E109">
        <v>-27.1</v>
      </c>
      <c r="F109">
        <v>0.29699999999999999</v>
      </c>
      <c r="G109">
        <v>7.8300000000000002E-3</v>
      </c>
      <c r="H109">
        <v>-21.3</v>
      </c>
      <c r="I109">
        <v>0.55700000000000005</v>
      </c>
      <c r="J109">
        <f t="shared" si="2"/>
        <v>-2.0300000000000006E-3</v>
      </c>
      <c r="K109" s="1">
        <f t="shared" si="3"/>
        <v>-5.8000000000000007</v>
      </c>
    </row>
    <row r="110" spans="1:11" x14ac:dyDescent="0.25">
      <c r="A110" s="9">
        <v>28904</v>
      </c>
      <c r="B110">
        <v>1</v>
      </c>
      <c r="C110">
        <v>5</v>
      </c>
      <c r="D110">
        <v>7.3600000000000002E-3</v>
      </c>
      <c r="E110">
        <v>-20.100000000000001</v>
      </c>
      <c r="F110">
        <v>0.83</v>
      </c>
      <c r="G110">
        <v>4.0600000000000002E-3</v>
      </c>
      <c r="H110">
        <v>4.8</v>
      </c>
      <c r="I110">
        <v>0.97</v>
      </c>
      <c r="J110">
        <f t="shared" si="2"/>
        <v>3.3E-3</v>
      </c>
      <c r="K110" s="1">
        <f t="shared" si="3"/>
        <v>-24.900000000000002</v>
      </c>
    </row>
    <row r="111" spans="1:11" x14ac:dyDescent="0.25">
      <c r="A111" s="10">
        <v>28925</v>
      </c>
      <c r="B111" s="2">
        <v>2</v>
      </c>
      <c r="C111" s="2">
        <v>5</v>
      </c>
      <c r="D111" s="2">
        <v>6.6499999999999997E-3</v>
      </c>
      <c r="E111" s="2">
        <v>11.4</v>
      </c>
      <c r="F111" s="2">
        <v>0.91300000000000003</v>
      </c>
      <c r="G111" s="2">
        <v>5.1000000000000004E-3</v>
      </c>
      <c r="H111" s="2">
        <v>9.5</v>
      </c>
      <c r="I111" s="2">
        <v>0.95099999999999996</v>
      </c>
      <c r="J111" s="2">
        <f t="shared" si="2"/>
        <v>1.5499999999999993E-3</v>
      </c>
      <c r="K111" s="3">
        <f t="shared" si="3"/>
        <v>1.9000000000000004</v>
      </c>
    </row>
    <row r="112" spans="1:11" x14ac:dyDescent="0.25">
      <c r="A112" s="9">
        <v>12625</v>
      </c>
      <c r="B112">
        <v>2</v>
      </c>
      <c r="C112">
        <v>6</v>
      </c>
      <c r="D112">
        <v>4.6600000000000001E-3</v>
      </c>
      <c r="E112">
        <v>-55.8</v>
      </c>
      <c r="F112">
        <v>0.64800000000000002</v>
      </c>
      <c r="G112">
        <v>2.5999999999999999E-3</v>
      </c>
      <c r="H112">
        <v>-23.9</v>
      </c>
      <c r="I112">
        <v>0.27500000000000002</v>
      </c>
      <c r="J112">
        <f t="shared" si="2"/>
        <v>2.0600000000000002E-3</v>
      </c>
      <c r="K112" s="1">
        <f t="shared" si="3"/>
        <v>-31.9</v>
      </c>
    </row>
    <row r="113" spans="1:11" x14ac:dyDescent="0.25">
      <c r="A113" s="9">
        <v>15072</v>
      </c>
      <c r="B113">
        <v>1</v>
      </c>
      <c r="C113">
        <v>6</v>
      </c>
      <c r="D113">
        <v>8.5400000000000007E-3</v>
      </c>
      <c r="E113">
        <v>3.2</v>
      </c>
      <c r="F113">
        <v>0.92700000000000005</v>
      </c>
      <c r="G113">
        <v>6.3400000000000001E-3</v>
      </c>
      <c r="H113">
        <v>-8</v>
      </c>
      <c r="I113">
        <v>0.84</v>
      </c>
      <c r="J113">
        <f t="shared" si="2"/>
        <v>2.2000000000000006E-3</v>
      </c>
      <c r="K113" s="1">
        <f t="shared" si="3"/>
        <v>11.2</v>
      </c>
    </row>
    <row r="114" spans="1:11" x14ac:dyDescent="0.25">
      <c r="A114" s="9">
        <v>16418</v>
      </c>
      <c r="B114">
        <v>1</v>
      </c>
      <c r="C114">
        <v>6</v>
      </c>
      <c r="D114">
        <v>6.4000000000000003E-3</v>
      </c>
      <c r="E114">
        <v>-30</v>
      </c>
      <c r="F114">
        <v>0.93700000000000006</v>
      </c>
      <c r="G114">
        <v>7.2100000000000003E-3</v>
      </c>
      <c r="H114">
        <v>-3.9</v>
      </c>
      <c r="I114">
        <v>0.95499999999999996</v>
      </c>
      <c r="J114">
        <f t="shared" si="2"/>
        <v>-8.0999999999999996E-4</v>
      </c>
      <c r="K114" s="1">
        <f t="shared" si="3"/>
        <v>-26.1</v>
      </c>
    </row>
    <row r="115" spans="1:11" x14ac:dyDescent="0.25">
      <c r="A115" s="9">
        <v>21605</v>
      </c>
      <c r="B115">
        <v>1</v>
      </c>
      <c r="C115">
        <v>6</v>
      </c>
      <c r="D115">
        <v>9.7699999999999992E-3</v>
      </c>
      <c r="E115">
        <v>-7.8</v>
      </c>
      <c r="F115">
        <v>0.93600000000000005</v>
      </c>
      <c r="G115">
        <v>2.8400000000000001E-3</v>
      </c>
      <c r="H115">
        <v>64.5</v>
      </c>
      <c r="I115">
        <v>0.752</v>
      </c>
      <c r="J115">
        <f t="shared" si="2"/>
        <v>6.9299999999999987E-3</v>
      </c>
      <c r="K115" s="1">
        <f t="shared" si="3"/>
        <v>-72.3</v>
      </c>
    </row>
    <row r="116" spans="1:11" x14ac:dyDescent="0.25">
      <c r="A116" s="9">
        <v>22060</v>
      </c>
      <c r="B116">
        <v>2</v>
      </c>
      <c r="C116">
        <v>6</v>
      </c>
      <c r="D116">
        <v>9.3500000000000007E-3</v>
      </c>
      <c r="E116">
        <v>-1.4</v>
      </c>
      <c r="F116">
        <v>0.94399999999999995</v>
      </c>
      <c r="G116">
        <v>3.7799999999999999E-3</v>
      </c>
      <c r="H116">
        <v>-3.3</v>
      </c>
      <c r="I116">
        <v>0.88400000000000001</v>
      </c>
      <c r="J116">
        <f t="shared" si="2"/>
        <v>5.5700000000000003E-3</v>
      </c>
      <c r="K116" s="1">
        <f t="shared" si="3"/>
        <v>1.9</v>
      </c>
    </row>
    <row r="117" spans="1:11" x14ac:dyDescent="0.25">
      <c r="A117" s="9">
        <v>24465</v>
      </c>
      <c r="B117">
        <v>1</v>
      </c>
      <c r="C117">
        <v>6</v>
      </c>
      <c r="D117">
        <v>4.6800000000000001E-3</v>
      </c>
      <c r="E117">
        <v>-3.8</v>
      </c>
      <c r="F117">
        <v>0.747</v>
      </c>
      <c r="G117">
        <v>5.2300000000000003E-3</v>
      </c>
      <c r="H117">
        <v>37.799999999999997</v>
      </c>
      <c r="I117">
        <v>0.86499999999999999</v>
      </c>
      <c r="J117">
        <f t="shared" si="2"/>
        <v>-5.5000000000000014E-4</v>
      </c>
      <c r="K117" s="1">
        <f t="shared" si="3"/>
        <v>-41.599999999999994</v>
      </c>
    </row>
    <row r="118" spans="1:11" x14ac:dyDescent="0.25">
      <c r="A118" s="9">
        <v>24687</v>
      </c>
      <c r="B118">
        <v>2</v>
      </c>
      <c r="C118">
        <v>6</v>
      </c>
      <c r="D118">
        <v>7.9399999999999991E-3</v>
      </c>
      <c r="E118">
        <v>-7.1</v>
      </c>
      <c r="F118">
        <v>0.88100000000000001</v>
      </c>
      <c r="G118">
        <v>6.8300000000000001E-3</v>
      </c>
      <c r="H118">
        <v>-8.5</v>
      </c>
      <c r="I118">
        <v>0.93200000000000005</v>
      </c>
      <c r="J118">
        <f t="shared" si="2"/>
        <v>1.109999999999999E-3</v>
      </c>
      <c r="K118" s="1">
        <f t="shared" si="3"/>
        <v>1.4000000000000004</v>
      </c>
    </row>
    <row r="119" spans="1:11" x14ac:dyDescent="0.25">
      <c r="A119" s="9">
        <v>25121</v>
      </c>
      <c r="B119">
        <v>2</v>
      </c>
      <c r="C119">
        <v>6</v>
      </c>
      <c r="D119">
        <v>7.7400000000000004E-3</v>
      </c>
      <c r="E119">
        <v>-8.6</v>
      </c>
      <c r="F119">
        <v>0.98399999999999999</v>
      </c>
      <c r="G119">
        <v>7.26E-3</v>
      </c>
      <c r="H119">
        <v>-9.1</v>
      </c>
      <c r="I119">
        <v>0.97299999999999998</v>
      </c>
      <c r="J119">
        <f t="shared" si="2"/>
        <v>4.8000000000000039E-4</v>
      </c>
      <c r="K119" s="1">
        <f t="shared" si="3"/>
        <v>0.5</v>
      </c>
    </row>
    <row r="120" spans="1:11" x14ac:dyDescent="0.25">
      <c r="A120" s="9">
        <v>25463</v>
      </c>
      <c r="B120">
        <v>2</v>
      </c>
      <c r="C120">
        <v>6</v>
      </c>
      <c r="D120">
        <v>1.6800000000000001E-3</v>
      </c>
      <c r="E120">
        <v>47</v>
      </c>
      <c r="F120">
        <v>0.80800000000000005</v>
      </c>
      <c r="G120">
        <v>2.33E-3</v>
      </c>
      <c r="H120">
        <v>27.4</v>
      </c>
      <c r="I120">
        <v>0.94099999999999995</v>
      </c>
      <c r="J120">
        <f t="shared" si="2"/>
        <v>-6.4999999999999997E-4</v>
      </c>
      <c r="K120" s="1">
        <f t="shared" si="3"/>
        <v>19.600000000000001</v>
      </c>
    </row>
    <row r="121" spans="1:11" x14ac:dyDescent="0.25">
      <c r="A121" s="9">
        <v>25724</v>
      </c>
      <c r="B121">
        <v>1</v>
      </c>
      <c r="C121">
        <v>6</v>
      </c>
      <c r="D121">
        <v>5.0400000000000002E-3</v>
      </c>
      <c r="E121">
        <v>-9.6</v>
      </c>
      <c r="F121">
        <v>0.70099999999999996</v>
      </c>
      <c r="G121">
        <v>3.0200000000000001E-3</v>
      </c>
      <c r="H121">
        <v>14.9</v>
      </c>
      <c r="I121">
        <v>0.57999999999999996</v>
      </c>
      <c r="J121">
        <f t="shared" si="2"/>
        <v>2.0200000000000001E-3</v>
      </c>
      <c r="K121" s="1">
        <f t="shared" si="3"/>
        <v>-24.5</v>
      </c>
    </row>
    <row r="122" spans="1:11" x14ac:dyDescent="0.25">
      <c r="A122" s="9">
        <v>28226</v>
      </c>
      <c r="B122">
        <v>1</v>
      </c>
      <c r="C122">
        <v>6</v>
      </c>
      <c r="D122">
        <v>3.1700000000000001E-3</v>
      </c>
      <c r="E122">
        <v>13.6</v>
      </c>
      <c r="F122">
        <v>0.98499999999999999</v>
      </c>
      <c r="G122">
        <v>3.79E-3</v>
      </c>
      <c r="H122">
        <v>7.6</v>
      </c>
      <c r="I122">
        <v>0.99199999999999999</v>
      </c>
      <c r="J122">
        <f t="shared" si="2"/>
        <v>-6.1999999999999989E-4</v>
      </c>
      <c r="K122" s="1">
        <f t="shared" si="3"/>
        <v>6</v>
      </c>
    </row>
    <row r="123" spans="1:11" x14ac:dyDescent="0.25">
      <c r="A123" s="9">
        <v>28474</v>
      </c>
      <c r="B123">
        <v>2</v>
      </c>
      <c r="C123">
        <v>6</v>
      </c>
      <c r="D123">
        <v>3.47E-3</v>
      </c>
      <c r="E123">
        <v>7.1</v>
      </c>
      <c r="F123">
        <v>0.91800000000000004</v>
      </c>
      <c r="G123">
        <v>2.5999999999999999E-3</v>
      </c>
      <c r="H123">
        <v>-4.0999999999999996</v>
      </c>
      <c r="I123">
        <v>0.92700000000000005</v>
      </c>
      <c r="J123">
        <f t="shared" si="2"/>
        <v>8.7000000000000011E-4</v>
      </c>
      <c r="K123" s="1">
        <f t="shared" si="3"/>
        <v>11.2</v>
      </c>
    </row>
    <row r="124" spans="1:11" x14ac:dyDescent="0.25">
      <c r="A124" s="9">
        <v>28572</v>
      </c>
      <c r="B124">
        <v>2</v>
      </c>
      <c r="C124">
        <v>6</v>
      </c>
      <c r="D124">
        <v>1.8500000000000001E-3</v>
      </c>
      <c r="E124">
        <v>-16.7</v>
      </c>
      <c r="F124">
        <v>0.92400000000000004</v>
      </c>
      <c r="G124">
        <v>5.0099999999999997E-3</v>
      </c>
      <c r="H124">
        <v>3.1</v>
      </c>
      <c r="I124">
        <v>0.95799999999999996</v>
      </c>
      <c r="J124">
        <f t="shared" si="2"/>
        <v>-3.1599999999999996E-3</v>
      </c>
      <c r="K124" s="1">
        <f t="shared" si="3"/>
        <v>-19.8</v>
      </c>
    </row>
    <row r="125" spans="1:11" x14ac:dyDescent="0.25">
      <c r="A125" s="9">
        <v>28597</v>
      </c>
      <c r="B125">
        <v>2</v>
      </c>
      <c r="C125">
        <v>6</v>
      </c>
      <c r="D125">
        <v>1.92E-3</v>
      </c>
      <c r="E125">
        <v>-64</v>
      </c>
      <c r="F125">
        <v>0.28699999999999998</v>
      </c>
      <c r="G125">
        <v>3.82E-3</v>
      </c>
      <c r="H125">
        <v>-8.6</v>
      </c>
      <c r="I125">
        <v>0.95</v>
      </c>
      <c r="J125">
        <f t="shared" si="2"/>
        <v>-1.9E-3</v>
      </c>
      <c r="K125" s="1">
        <f t="shared" si="3"/>
        <v>-55.4</v>
      </c>
    </row>
    <row r="126" spans="1:11" x14ac:dyDescent="0.25">
      <c r="A126" s="9">
        <v>28608</v>
      </c>
      <c r="B126">
        <v>1</v>
      </c>
      <c r="C126">
        <v>6</v>
      </c>
      <c r="D126">
        <v>5.5999999999999999E-3</v>
      </c>
      <c r="E126">
        <v>-21.3</v>
      </c>
      <c r="F126">
        <v>0.95</v>
      </c>
      <c r="G126">
        <v>5.1900000000000002E-3</v>
      </c>
      <c r="H126">
        <v>-24.9</v>
      </c>
      <c r="I126">
        <v>0.95299999999999996</v>
      </c>
      <c r="J126">
        <f t="shared" si="2"/>
        <v>4.0999999999999977E-4</v>
      </c>
      <c r="K126" s="1">
        <f t="shared" si="3"/>
        <v>3.5999999999999979</v>
      </c>
    </row>
    <row r="127" spans="1:11" x14ac:dyDescent="0.25">
      <c r="A127" s="9">
        <v>28609</v>
      </c>
      <c r="B127">
        <v>1</v>
      </c>
      <c r="C127">
        <v>6</v>
      </c>
      <c r="D127">
        <v>4.5999999999999999E-3</v>
      </c>
      <c r="E127">
        <v>0.68400000000000005</v>
      </c>
      <c r="F127">
        <v>0.96</v>
      </c>
      <c r="G127">
        <v>4.7000000000000002E-3</v>
      </c>
      <c r="H127">
        <v>-10.7</v>
      </c>
      <c r="I127">
        <v>0.98099999999999998</v>
      </c>
      <c r="J127">
        <f t="shared" si="2"/>
        <v>-1.0000000000000026E-4</v>
      </c>
      <c r="K127" s="1">
        <f t="shared" si="3"/>
        <v>11.383999999999999</v>
      </c>
    </row>
    <row r="128" spans="1:11" x14ac:dyDescent="0.25">
      <c r="A128" s="9">
        <v>28632</v>
      </c>
      <c r="B128">
        <v>2</v>
      </c>
      <c r="C128">
        <v>6</v>
      </c>
      <c r="D128">
        <v>8.8100000000000001E-3</v>
      </c>
      <c r="E128">
        <v>3.4</v>
      </c>
      <c r="F128">
        <v>0.93600000000000005</v>
      </c>
      <c r="G128">
        <v>1.465E-2</v>
      </c>
      <c r="H128">
        <v>6.9</v>
      </c>
      <c r="I128">
        <v>0.96</v>
      </c>
      <c r="J128">
        <f t="shared" si="2"/>
        <v>-5.8399999999999997E-3</v>
      </c>
      <c r="K128" s="1">
        <f t="shared" si="3"/>
        <v>-3.5000000000000004</v>
      </c>
    </row>
    <row r="129" spans="1:11" x14ac:dyDescent="0.25">
      <c r="A129" s="9">
        <v>28664</v>
      </c>
      <c r="B129">
        <v>2</v>
      </c>
      <c r="C129">
        <v>6</v>
      </c>
      <c r="D129">
        <v>5.0899999999999999E-3</v>
      </c>
      <c r="E129">
        <v>-24.9</v>
      </c>
      <c r="F129">
        <v>0.92400000000000004</v>
      </c>
      <c r="G129">
        <v>5.5599999999999998E-3</v>
      </c>
      <c r="H129">
        <v>-20.6</v>
      </c>
      <c r="I129">
        <v>0.97199999999999998</v>
      </c>
      <c r="J129">
        <f t="shared" si="2"/>
        <v>-4.6999999999999993E-4</v>
      </c>
      <c r="K129" s="1">
        <f t="shared" si="3"/>
        <v>-4.2999999999999972</v>
      </c>
    </row>
    <row r="130" spans="1:11" x14ac:dyDescent="0.25">
      <c r="A130" s="9">
        <v>28669</v>
      </c>
      <c r="B130">
        <v>1</v>
      </c>
      <c r="C130">
        <v>6</v>
      </c>
      <c r="D130">
        <v>5.8100000000000001E-3</v>
      </c>
      <c r="E130">
        <v>30.8</v>
      </c>
      <c r="F130">
        <v>0.92900000000000005</v>
      </c>
      <c r="G130">
        <v>5.6299999999999996E-3</v>
      </c>
      <c r="H130">
        <v>37.1</v>
      </c>
      <c r="I130">
        <v>0.97399999999999998</v>
      </c>
      <c r="J130">
        <f t="shared" si="2"/>
        <v>1.8000000000000047E-4</v>
      </c>
      <c r="K130" s="1">
        <f t="shared" si="3"/>
        <v>-6.3000000000000007</v>
      </c>
    </row>
    <row r="131" spans="1:11" x14ac:dyDescent="0.25">
      <c r="A131" s="9">
        <v>28873</v>
      </c>
      <c r="B131">
        <v>2</v>
      </c>
      <c r="C131">
        <v>6</v>
      </c>
      <c r="D131">
        <v>5.0099999999999997E-3</v>
      </c>
      <c r="E131">
        <v>-12.9</v>
      </c>
      <c r="F131">
        <v>0.378</v>
      </c>
      <c r="G131">
        <v>7.1700000000000002E-3</v>
      </c>
      <c r="H131">
        <v>-24.9</v>
      </c>
      <c r="I131">
        <v>0.67400000000000004</v>
      </c>
      <c r="J131">
        <f t="shared" ref="J131:J177" si="4">D131-G131</f>
        <v>-2.1600000000000005E-3</v>
      </c>
      <c r="K131" s="1">
        <f t="shared" ref="K131:K177" si="5">E131-H131</f>
        <v>11.999999999999998</v>
      </c>
    </row>
    <row r="132" spans="1:11" x14ac:dyDescent="0.25">
      <c r="A132" s="9">
        <v>28904</v>
      </c>
      <c r="B132">
        <v>1</v>
      </c>
      <c r="C132">
        <v>6</v>
      </c>
      <c r="D132">
        <v>6.8199999999999997E-3</v>
      </c>
      <c r="E132">
        <v>-40.4</v>
      </c>
      <c r="F132">
        <v>0.82899999999999996</v>
      </c>
      <c r="G132">
        <v>4.7299999999999998E-3</v>
      </c>
      <c r="H132">
        <v>-5.8</v>
      </c>
      <c r="I132">
        <v>0.97499999999999998</v>
      </c>
      <c r="J132">
        <f t="shared" si="4"/>
        <v>2.0899999999999998E-3</v>
      </c>
      <c r="K132" s="1">
        <f t="shared" si="5"/>
        <v>-34.6</v>
      </c>
    </row>
    <row r="133" spans="1:11" x14ac:dyDescent="0.25">
      <c r="A133" s="10">
        <v>28925</v>
      </c>
      <c r="B133" s="2">
        <v>2</v>
      </c>
      <c r="C133" s="2">
        <v>6</v>
      </c>
      <c r="D133" s="2">
        <v>4.5199999999999997E-3</v>
      </c>
      <c r="E133" s="2">
        <v>-4</v>
      </c>
      <c r="F133" s="2">
        <v>0.88600000000000001</v>
      </c>
      <c r="G133" s="2">
        <v>4.5599999999999998E-3</v>
      </c>
      <c r="H133" s="2">
        <v>8.9</v>
      </c>
      <c r="I133" s="2">
        <v>0.94899999999999995</v>
      </c>
      <c r="J133" s="2">
        <f t="shared" si="4"/>
        <v>-4.0000000000000105E-5</v>
      </c>
      <c r="K133" s="3">
        <f t="shared" si="5"/>
        <v>-12.9</v>
      </c>
    </row>
    <row r="134" spans="1:11" x14ac:dyDescent="0.25">
      <c r="A134" s="9">
        <v>12625</v>
      </c>
      <c r="B134">
        <v>2</v>
      </c>
      <c r="C134">
        <v>7</v>
      </c>
      <c r="D134">
        <v>2.5000000000000001E-3</v>
      </c>
      <c r="E134">
        <v>23.1</v>
      </c>
      <c r="F134">
        <v>0.41</v>
      </c>
      <c r="G134">
        <v>5.6899999999999997E-3</v>
      </c>
      <c r="H134">
        <v>-43.6</v>
      </c>
      <c r="I134">
        <v>0.44900000000000001</v>
      </c>
      <c r="J134">
        <f t="shared" si="4"/>
        <v>-3.1899999999999997E-3</v>
      </c>
      <c r="K134" s="1">
        <f t="shared" si="5"/>
        <v>66.7</v>
      </c>
    </row>
    <row r="135" spans="1:11" x14ac:dyDescent="0.25">
      <c r="A135" s="9">
        <v>15072</v>
      </c>
      <c r="B135">
        <v>1</v>
      </c>
      <c r="C135">
        <v>7</v>
      </c>
      <c r="D135">
        <v>1.166E-2</v>
      </c>
      <c r="E135">
        <v>-31.1</v>
      </c>
      <c r="F135">
        <v>0.85199999999999998</v>
      </c>
      <c r="G135">
        <v>6.8100000000000001E-3</v>
      </c>
      <c r="H135">
        <v>-18.2</v>
      </c>
      <c r="I135">
        <v>0.54</v>
      </c>
      <c r="J135">
        <f t="shared" si="4"/>
        <v>4.8500000000000001E-3</v>
      </c>
      <c r="K135" s="1">
        <f t="shared" si="5"/>
        <v>-12.900000000000002</v>
      </c>
    </row>
    <row r="136" spans="1:11" x14ac:dyDescent="0.25">
      <c r="A136" s="9">
        <v>16418</v>
      </c>
      <c r="B136">
        <v>1</v>
      </c>
      <c r="C136">
        <v>7</v>
      </c>
      <c r="D136">
        <v>6.0600000000000003E-3</v>
      </c>
      <c r="E136">
        <v>-34.200000000000003</v>
      </c>
      <c r="F136">
        <v>0.92400000000000004</v>
      </c>
      <c r="G136">
        <v>3.81E-3</v>
      </c>
      <c r="H136">
        <v>-3.7</v>
      </c>
      <c r="I136">
        <v>0.97499999999999998</v>
      </c>
      <c r="J136">
        <f t="shared" si="4"/>
        <v>2.2500000000000003E-3</v>
      </c>
      <c r="K136" s="1">
        <f t="shared" si="5"/>
        <v>-30.500000000000004</v>
      </c>
    </row>
    <row r="137" spans="1:11" x14ac:dyDescent="0.25">
      <c r="A137" s="9">
        <v>21605</v>
      </c>
      <c r="B137">
        <v>1</v>
      </c>
      <c r="C137">
        <v>7</v>
      </c>
      <c r="D137">
        <v>1.2200000000000001E-2</v>
      </c>
      <c r="E137">
        <v>-22.7</v>
      </c>
      <c r="F137">
        <v>0.871</v>
      </c>
      <c r="G137">
        <v>3.8400000000000001E-3</v>
      </c>
      <c r="H137">
        <v>116.4</v>
      </c>
      <c r="I137">
        <v>0.63800000000000001</v>
      </c>
      <c r="J137">
        <f t="shared" si="4"/>
        <v>8.3600000000000011E-3</v>
      </c>
      <c r="K137" s="1">
        <f t="shared" si="5"/>
        <v>-139.1</v>
      </c>
    </row>
    <row r="138" spans="1:11" x14ac:dyDescent="0.25">
      <c r="A138" s="9">
        <v>22060</v>
      </c>
      <c r="B138">
        <v>2</v>
      </c>
      <c r="C138">
        <v>7</v>
      </c>
      <c r="D138">
        <v>1.191E-2</v>
      </c>
      <c r="E138">
        <v>-10.4</v>
      </c>
      <c r="F138">
        <v>0.95799999999999996</v>
      </c>
      <c r="G138">
        <v>5.8999999999999999E-3</v>
      </c>
      <c r="H138">
        <v>-38.9</v>
      </c>
      <c r="I138">
        <v>0.96499999999999997</v>
      </c>
      <c r="J138">
        <f t="shared" si="4"/>
        <v>6.0100000000000006E-3</v>
      </c>
      <c r="K138" s="1">
        <f t="shared" si="5"/>
        <v>28.5</v>
      </c>
    </row>
    <row r="139" spans="1:11" x14ac:dyDescent="0.25">
      <c r="A139" s="9">
        <v>24465</v>
      </c>
      <c r="B139">
        <v>1</v>
      </c>
      <c r="C139">
        <v>7</v>
      </c>
      <c r="D139">
        <v>6.4900000000000001E-3</v>
      </c>
      <c r="E139">
        <v>-21.8</v>
      </c>
      <c r="F139">
        <v>0.76900000000000002</v>
      </c>
      <c r="G139">
        <v>4.3E-3</v>
      </c>
      <c r="H139">
        <v>26.8</v>
      </c>
      <c r="I139">
        <v>0.81499999999999995</v>
      </c>
      <c r="J139">
        <f t="shared" si="4"/>
        <v>2.1900000000000001E-3</v>
      </c>
      <c r="K139" s="1">
        <f t="shared" si="5"/>
        <v>-48.6</v>
      </c>
    </row>
    <row r="140" spans="1:11" x14ac:dyDescent="0.25">
      <c r="A140" s="9">
        <v>24687</v>
      </c>
      <c r="B140">
        <v>2</v>
      </c>
      <c r="C140">
        <v>7</v>
      </c>
      <c r="D140">
        <v>1.274E-2</v>
      </c>
      <c r="E140">
        <v>-6.3</v>
      </c>
      <c r="F140">
        <v>0.91</v>
      </c>
      <c r="G140">
        <v>9.2099999999999994E-3</v>
      </c>
      <c r="H140">
        <v>-19.3</v>
      </c>
      <c r="I140">
        <v>0.94199999999999995</v>
      </c>
      <c r="J140">
        <f t="shared" si="4"/>
        <v>3.5300000000000002E-3</v>
      </c>
      <c r="K140" s="1">
        <f t="shared" si="5"/>
        <v>13</v>
      </c>
    </row>
    <row r="141" spans="1:11" x14ac:dyDescent="0.25">
      <c r="A141" s="9">
        <v>25121</v>
      </c>
      <c r="B141">
        <v>2</v>
      </c>
      <c r="C141">
        <v>7</v>
      </c>
      <c r="D141">
        <v>4.8999999999999998E-3</v>
      </c>
      <c r="E141">
        <v>3.7</v>
      </c>
      <c r="F141">
        <v>0.95399999999999996</v>
      </c>
      <c r="G141">
        <v>6.5100000000000002E-3</v>
      </c>
      <c r="H141">
        <v>-4.9000000000000004</v>
      </c>
      <c r="I141">
        <v>0.97099999999999997</v>
      </c>
      <c r="J141">
        <f t="shared" si="4"/>
        <v>-1.6100000000000003E-3</v>
      </c>
      <c r="K141" s="1">
        <f t="shared" si="5"/>
        <v>8.6000000000000014</v>
      </c>
    </row>
    <row r="142" spans="1:11" x14ac:dyDescent="0.25">
      <c r="A142" s="9">
        <v>25463</v>
      </c>
      <c r="B142">
        <v>2</v>
      </c>
      <c r="C142">
        <v>7</v>
      </c>
      <c r="D142">
        <v>2.7599999999999999E-3</v>
      </c>
      <c r="E142">
        <v>20</v>
      </c>
      <c r="F142">
        <v>0.92900000000000005</v>
      </c>
      <c r="G142">
        <v>2.5999999999999999E-3</v>
      </c>
      <c r="H142">
        <v>6.9</v>
      </c>
      <c r="I142">
        <v>0.86199999999999999</v>
      </c>
      <c r="J142">
        <f t="shared" si="4"/>
        <v>1.5999999999999999E-4</v>
      </c>
      <c r="K142" s="1">
        <f t="shared" si="5"/>
        <v>13.1</v>
      </c>
    </row>
    <row r="143" spans="1:11" x14ac:dyDescent="0.25">
      <c r="A143" s="9">
        <v>25724</v>
      </c>
      <c r="B143">
        <v>1</v>
      </c>
      <c r="C143">
        <v>7</v>
      </c>
      <c r="D143">
        <v>6.11E-3</v>
      </c>
      <c r="E143">
        <v>23</v>
      </c>
      <c r="F143">
        <v>0.70399999999999996</v>
      </c>
      <c r="G143">
        <v>5.2199999999999998E-3</v>
      </c>
      <c r="H143">
        <v>14.9</v>
      </c>
      <c r="I143">
        <v>0.73</v>
      </c>
      <c r="J143">
        <f t="shared" si="4"/>
        <v>8.9000000000000017E-4</v>
      </c>
      <c r="K143" s="1">
        <f t="shared" si="5"/>
        <v>8.1</v>
      </c>
    </row>
    <row r="144" spans="1:11" x14ac:dyDescent="0.25">
      <c r="A144" s="9">
        <v>28226</v>
      </c>
      <c r="B144">
        <v>1</v>
      </c>
      <c r="C144">
        <v>7</v>
      </c>
      <c r="D144">
        <v>3.62E-3</v>
      </c>
      <c r="E144">
        <v>1.5</v>
      </c>
      <c r="F144">
        <v>0.97899999999999998</v>
      </c>
      <c r="G144">
        <v>3.9500000000000004E-3</v>
      </c>
      <c r="H144">
        <v>3</v>
      </c>
      <c r="I144">
        <v>0.98499999999999999</v>
      </c>
      <c r="J144">
        <f t="shared" si="4"/>
        <v>-3.3000000000000043E-4</v>
      </c>
      <c r="K144" s="1">
        <f t="shared" si="5"/>
        <v>-1.5</v>
      </c>
    </row>
    <row r="145" spans="1:11" x14ac:dyDescent="0.25">
      <c r="A145" s="9">
        <v>28474</v>
      </c>
      <c r="B145">
        <v>2</v>
      </c>
      <c r="C145">
        <v>7</v>
      </c>
      <c r="D145">
        <v>3.3800000000000002E-3</v>
      </c>
      <c r="E145">
        <v>6.8</v>
      </c>
      <c r="F145">
        <v>0.91800000000000004</v>
      </c>
      <c r="G145">
        <v>3.3E-3</v>
      </c>
      <c r="H145">
        <v>-33.4</v>
      </c>
      <c r="I145">
        <v>0.95899999999999996</v>
      </c>
      <c r="J145">
        <f t="shared" si="4"/>
        <v>8.000000000000021E-5</v>
      </c>
      <c r="K145" s="1">
        <f t="shared" si="5"/>
        <v>40.199999999999996</v>
      </c>
    </row>
    <row r="146" spans="1:11" x14ac:dyDescent="0.25">
      <c r="A146" s="9">
        <v>28572</v>
      </c>
      <c r="B146">
        <v>2</v>
      </c>
      <c r="C146">
        <v>7</v>
      </c>
      <c r="D146">
        <v>1.8500000000000001E-3</v>
      </c>
      <c r="E146">
        <v>33.9</v>
      </c>
      <c r="F146">
        <v>0.66400000000000003</v>
      </c>
      <c r="G146">
        <v>4.0299999999999997E-3</v>
      </c>
      <c r="H146">
        <v>32</v>
      </c>
      <c r="I146">
        <v>0.93899999999999995</v>
      </c>
      <c r="J146">
        <f t="shared" si="4"/>
        <v>-2.1799999999999996E-3</v>
      </c>
      <c r="K146" s="1">
        <f t="shared" si="5"/>
        <v>1.8999999999999986</v>
      </c>
    </row>
    <row r="147" spans="1:11" x14ac:dyDescent="0.25">
      <c r="A147" s="9">
        <v>28597</v>
      </c>
      <c r="B147">
        <v>2</v>
      </c>
      <c r="C147">
        <v>7</v>
      </c>
      <c r="D147">
        <v>3.13E-3</v>
      </c>
      <c r="E147">
        <v>-91.3</v>
      </c>
      <c r="F147">
        <v>0.58699999999999997</v>
      </c>
      <c r="G147">
        <v>4.0600000000000002E-3</v>
      </c>
      <c r="H147">
        <v>-53.3</v>
      </c>
      <c r="I147">
        <v>0.83699999999999997</v>
      </c>
      <c r="J147">
        <f t="shared" si="4"/>
        <v>-9.3000000000000027E-4</v>
      </c>
      <c r="K147" s="1">
        <f t="shared" si="5"/>
        <v>-38</v>
      </c>
    </row>
    <row r="148" spans="1:11" x14ac:dyDescent="0.25">
      <c r="A148" s="9">
        <v>28608</v>
      </c>
      <c r="B148">
        <v>1</v>
      </c>
      <c r="C148">
        <v>7</v>
      </c>
      <c r="D148">
        <v>4.3699999999999998E-3</v>
      </c>
      <c r="E148">
        <v>-29.1</v>
      </c>
      <c r="F148">
        <v>0.91</v>
      </c>
      <c r="G148">
        <v>3.1700000000000001E-3</v>
      </c>
      <c r="H148">
        <v>-32.799999999999997</v>
      </c>
      <c r="I148">
        <v>0.83699999999999997</v>
      </c>
      <c r="J148">
        <f t="shared" si="4"/>
        <v>1.1999999999999997E-3</v>
      </c>
      <c r="K148" s="1">
        <f t="shared" si="5"/>
        <v>3.6999999999999957</v>
      </c>
    </row>
    <row r="149" spans="1:11" x14ac:dyDescent="0.25">
      <c r="A149" s="9">
        <v>28609</v>
      </c>
      <c r="B149">
        <v>1</v>
      </c>
      <c r="C149">
        <v>7</v>
      </c>
      <c r="D149">
        <v>6.45E-3</v>
      </c>
      <c r="E149">
        <v>-14.7</v>
      </c>
      <c r="F149">
        <v>0.94499999999999995</v>
      </c>
      <c r="G149">
        <v>7.0499999999999998E-3</v>
      </c>
      <c r="H149">
        <v>-14.1</v>
      </c>
      <c r="I149">
        <v>0.98599999999999999</v>
      </c>
      <c r="J149">
        <f t="shared" si="4"/>
        <v>-5.9999999999999984E-4</v>
      </c>
      <c r="K149" s="1">
        <f t="shared" si="5"/>
        <v>-0.59999999999999964</v>
      </c>
    </row>
    <row r="150" spans="1:11" x14ac:dyDescent="0.25">
      <c r="A150" s="9">
        <v>28632</v>
      </c>
      <c r="B150">
        <v>2</v>
      </c>
      <c r="C150">
        <v>7</v>
      </c>
      <c r="D150">
        <v>8.5199999999999998E-3</v>
      </c>
      <c r="E150">
        <v>-20.6</v>
      </c>
      <c r="F150">
        <v>0.80600000000000005</v>
      </c>
      <c r="G150">
        <v>1.436E-2</v>
      </c>
      <c r="H150">
        <v>-6</v>
      </c>
      <c r="I150">
        <v>0.95599999999999996</v>
      </c>
      <c r="J150">
        <f t="shared" si="4"/>
        <v>-5.8399999999999997E-3</v>
      </c>
      <c r="K150" s="1">
        <f t="shared" si="5"/>
        <v>-14.600000000000001</v>
      </c>
    </row>
    <row r="151" spans="1:11" x14ac:dyDescent="0.25">
      <c r="A151" s="9">
        <v>28664</v>
      </c>
      <c r="B151">
        <v>2</v>
      </c>
      <c r="C151">
        <v>7</v>
      </c>
      <c r="D151">
        <v>7.4999999999999997E-3</v>
      </c>
      <c r="E151">
        <v>-18.5</v>
      </c>
      <c r="F151">
        <v>0.90200000000000002</v>
      </c>
      <c r="G151">
        <v>6.0099999999999997E-3</v>
      </c>
      <c r="H151">
        <v>-11.3</v>
      </c>
      <c r="I151">
        <v>0.92</v>
      </c>
      <c r="J151">
        <f t="shared" si="4"/>
        <v>1.49E-3</v>
      </c>
      <c r="K151" s="1">
        <f t="shared" si="5"/>
        <v>-7.1999999999999993</v>
      </c>
    </row>
    <row r="152" spans="1:11" x14ac:dyDescent="0.25">
      <c r="A152" s="9">
        <v>28669</v>
      </c>
      <c r="B152">
        <v>1</v>
      </c>
      <c r="C152">
        <v>7</v>
      </c>
      <c r="D152">
        <v>5.8399999999999997E-3</v>
      </c>
      <c r="E152">
        <v>6.6</v>
      </c>
      <c r="F152">
        <v>0.91700000000000004</v>
      </c>
      <c r="G152">
        <v>5.64E-3</v>
      </c>
      <c r="H152">
        <v>6.3</v>
      </c>
      <c r="I152">
        <v>0.94099999999999995</v>
      </c>
      <c r="J152">
        <f t="shared" si="4"/>
        <v>1.9999999999999966E-4</v>
      </c>
      <c r="K152" s="1">
        <f t="shared" si="5"/>
        <v>0.29999999999999982</v>
      </c>
    </row>
    <row r="153" spans="1:11" x14ac:dyDescent="0.25">
      <c r="A153" s="9">
        <v>28873</v>
      </c>
      <c r="B153">
        <v>2</v>
      </c>
      <c r="C153">
        <v>7</v>
      </c>
      <c r="D153">
        <v>4.5999999999999999E-3</v>
      </c>
      <c r="E153">
        <v>-47.4</v>
      </c>
      <c r="F153">
        <v>0.373</v>
      </c>
      <c r="G153">
        <v>9.9500000000000005E-3</v>
      </c>
      <c r="H153">
        <v>-84.6</v>
      </c>
      <c r="I153">
        <v>0.6</v>
      </c>
      <c r="J153">
        <f t="shared" si="4"/>
        <v>-5.3500000000000006E-3</v>
      </c>
      <c r="K153" s="1">
        <f t="shared" si="5"/>
        <v>37.199999999999996</v>
      </c>
    </row>
    <row r="154" spans="1:11" x14ac:dyDescent="0.25">
      <c r="A154" s="9">
        <v>28904</v>
      </c>
      <c r="B154">
        <v>1</v>
      </c>
      <c r="C154">
        <v>7</v>
      </c>
      <c r="D154">
        <v>7.9299999999999995E-3</v>
      </c>
      <c r="E154">
        <v>-70.7</v>
      </c>
      <c r="F154">
        <v>0.80700000000000005</v>
      </c>
      <c r="G154">
        <v>4.6800000000000001E-3</v>
      </c>
      <c r="H154">
        <v>-32</v>
      </c>
      <c r="I154">
        <v>0.95399999999999996</v>
      </c>
      <c r="J154">
        <f t="shared" si="4"/>
        <v>3.2499999999999994E-3</v>
      </c>
      <c r="K154" s="1">
        <f t="shared" si="5"/>
        <v>-38.700000000000003</v>
      </c>
    </row>
    <row r="155" spans="1:11" x14ac:dyDescent="0.25">
      <c r="A155" s="10">
        <v>28925</v>
      </c>
      <c r="B155" s="2">
        <v>2</v>
      </c>
      <c r="C155" s="2">
        <v>7</v>
      </c>
      <c r="D155" s="2">
        <v>5.9800000000000001E-3</v>
      </c>
      <c r="E155" s="2">
        <v>-14.9</v>
      </c>
      <c r="F155" s="2">
        <v>0.91600000000000004</v>
      </c>
      <c r="G155" s="2">
        <v>4.9399999999999999E-3</v>
      </c>
      <c r="H155" s="2">
        <v>-11.1</v>
      </c>
      <c r="I155" s="2">
        <v>0.95</v>
      </c>
      <c r="J155" s="2">
        <f t="shared" si="4"/>
        <v>1.0400000000000001E-3</v>
      </c>
      <c r="K155" s="3">
        <f t="shared" si="5"/>
        <v>-3.8000000000000007</v>
      </c>
    </row>
    <row r="156" spans="1:11" x14ac:dyDescent="0.25">
      <c r="A156" s="9">
        <v>12625</v>
      </c>
      <c r="B156">
        <v>2</v>
      </c>
      <c r="C156">
        <v>8</v>
      </c>
      <c r="D156">
        <v>3.5599999999999998E-3</v>
      </c>
      <c r="E156">
        <v>8.1</v>
      </c>
      <c r="F156">
        <v>0.53700000000000003</v>
      </c>
      <c r="G156">
        <v>4.0099999999999997E-3</v>
      </c>
      <c r="H156">
        <v>-35.5</v>
      </c>
      <c r="I156">
        <v>0.44800000000000001</v>
      </c>
      <c r="J156">
        <f t="shared" si="4"/>
        <v>-4.4999999999999988E-4</v>
      </c>
      <c r="K156" s="1">
        <f t="shared" si="5"/>
        <v>43.6</v>
      </c>
    </row>
    <row r="157" spans="1:11" x14ac:dyDescent="0.25">
      <c r="A157" s="9">
        <v>15072</v>
      </c>
      <c r="B157">
        <v>1</v>
      </c>
      <c r="C157">
        <v>8</v>
      </c>
      <c r="D157">
        <v>9.8399999999999998E-3</v>
      </c>
      <c r="E157">
        <v>12.3</v>
      </c>
      <c r="F157">
        <v>0.91400000000000003</v>
      </c>
      <c r="G157">
        <v>7.1500000000000001E-3</v>
      </c>
      <c r="H157">
        <v>-12.3</v>
      </c>
      <c r="I157">
        <v>0.76400000000000001</v>
      </c>
      <c r="J157">
        <f t="shared" si="4"/>
        <v>2.6899999999999997E-3</v>
      </c>
      <c r="K157" s="1">
        <f t="shared" si="5"/>
        <v>24.6</v>
      </c>
    </row>
    <row r="158" spans="1:11" x14ac:dyDescent="0.25">
      <c r="A158" s="9">
        <v>16418</v>
      </c>
      <c r="B158">
        <v>1</v>
      </c>
      <c r="C158">
        <v>8</v>
      </c>
      <c r="D158">
        <v>5.6699999999999997E-3</v>
      </c>
      <c r="E158">
        <v>-26.2</v>
      </c>
      <c r="F158">
        <v>0.92500000000000004</v>
      </c>
      <c r="G158">
        <v>4.5799999999999999E-3</v>
      </c>
      <c r="H158">
        <v>-2.7</v>
      </c>
      <c r="I158">
        <v>0.96299999999999997</v>
      </c>
      <c r="J158">
        <f t="shared" si="4"/>
        <v>1.0899999999999998E-3</v>
      </c>
      <c r="K158" s="1">
        <f t="shared" si="5"/>
        <v>-23.5</v>
      </c>
    </row>
    <row r="159" spans="1:11" x14ac:dyDescent="0.25">
      <c r="A159" s="9">
        <v>21605</v>
      </c>
      <c r="B159">
        <v>1</v>
      </c>
      <c r="C159">
        <v>8</v>
      </c>
      <c r="D159">
        <v>1.2800000000000001E-2</v>
      </c>
      <c r="E159">
        <v>4</v>
      </c>
      <c r="F159">
        <v>0.94199999999999995</v>
      </c>
      <c r="G159">
        <v>5.0499999999999998E-3</v>
      </c>
      <c r="H159">
        <v>75.7</v>
      </c>
      <c r="I159">
        <v>0.78</v>
      </c>
      <c r="J159">
        <f t="shared" si="4"/>
        <v>7.7500000000000008E-3</v>
      </c>
      <c r="K159" s="1">
        <f t="shared" si="5"/>
        <v>-71.7</v>
      </c>
    </row>
    <row r="160" spans="1:11" x14ac:dyDescent="0.25">
      <c r="A160" s="9">
        <v>22060</v>
      </c>
      <c r="B160">
        <v>2</v>
      </c>
      <c r="C160">
        <v>8</v>
      </c>
      <c r="D160">
        <v>1.128E-2</v>
      </c>
      <c r="E160">
        <v>-4.5999999999999996</v>
      </c>
      <c r="F160">
        <v>0.96599999999999997</v>
      </c>
      <c r="G160">
        <v>5.9699999999999996E-3</v>
      </c>
      <c r="H160">
        <v>-11.9</v>
      </c>
      <c r="I160">
        <v>0.91600000000000004</v>
      </c>
      <c r="J160">
        <f t="shared" si="4"/>
        <v>5.3100000000000005E-3</v>
      </c>
      <c r="K160" s="1">
        <f t="shared" si="5"/>
        <v>7.3000000000000007</v>
      </c>
    </row>
    <row r="161" spans="1:11" x14ac:dyDescent="0.25">
      <c r="A161" s="9">
        <v>24465</v>
      </c>
      <c r="B161">
        <v>1</v>
      </c>
      <c r="C161">
        <v>8</v>
      </c>
      <c r="D161">
        <v>5.4599999999999996E-3</v>
      </c>
      <c r="E161">
        <v>-13.6</v>
      </c>
      <c r="F161">
        <v>0.68700000000000006</v>
      </c>
      <c r="G161">
        <v>4.8799999999999998E-3</v>
      </c>
      <c r="H161">
        <v>15.8</v>
      </c>
      <c r="I161">
        <v>0.82899999999999996</v>
      </c>
      <c r="J161">
        <f t="shared" si="4"/>
        <v>5.7999999999999979E-4</v>
      </c>
      <c r="K161" s="1">
        <f t="shared" si="5"/>
        <v>-29.4</v>
      </c>
    </row>
    <row r="162" spans="1:11" x14ac:dyDescent="0.25">
      <c r="A162" s="9">
        <v>24687</v>
      </c>
      <c r="B162">
        <v>2</v>
      </c>
      <c r="C162">
        <v>8</v>
      </c>
      <c r="D162">
        <v>1.2829999999999999E-2</v>
      </c>
      <c r="E162">
        <v>-16.5</v>
      </c>
      <c r="F162">
        <v>0.92800000000000005</v>
      </c>
      <c r="G162">
        <v>1.1990000000000001E-2</v>
      </c>
      <c r="H162">
        <v>-15.5</v>
      </c>
      <c r="I162">
        <v>0.94499999999999995</v>
      </c>
      <c r="J162">
        <f t="shared" si="4"/>
        <v>8.3999999999999873E-4</v>
      </c>
      <c r="K162" s="1">
        <f t="shared" si="5"/>
        <v>-1</v>
      </c>
    </row>
    <row r="163" spans="1:11" x14ac:dyDescent="0.25">
      <c r="A163" s="9">
        <v>25121</v>
      </c>
      <c r="B163">
        <v>2</v>
      </c>
      <c r="C163">
        <v>8</v>
      </c>
      <c r="D163">
        <v>5.9899999999999997E-3</v>
      </c>
      <c r="E163">
        <v>-7.7</v>
      </c>
      <c r="F163">
        <v>0.96</v>
      </c>
      <c r="G163">
        <v>5.7000000000000002E-3</v>
      </c>
      <c r="H163">
        <v>-5.7</v>
      </c>
      <c r="I163">
        <v>0.94899999999999995</v>
      </c>
      <c r="J163">
        <f t="shared" si="4"/>
        <v>2.8999999999999946E-4</v>
      </c>
      <c r="K163" s="1">
        <f t="shared" si="5"/>
        <v>-2</v>
      </c>
    </row>
    <row r="164" spans="1:11" x14ac:dyDescent="0.25">
      <c r="A164" s="9">
        <v>25463</v>
      </c>
      <c r="B164">
        <v>2</v>
      </c>
      <c r="C164">
        <v>8</v>
      </c>
      <c r="D164">
        <v>1.7600000000000001E-3</v>
      </c>
      <c r="E164">
        <v>-95.1</v>
      </c>
      <c r="F164">
        <v>0.73899999999999999</v>
      </c>
      <c r="G164">
        <v>1.66E-3</v>
      </c>
      <c r="H164">
        <v>13.8</v>
      </c>
      <c r="I164">
        <v>0.80100000000000005</v>
      </c>
      <c r="J164">
        <f t="shared" si="4"/>
        <v>1.0000000000000005E-4</v>
      </c>
      <c r="K164" s="1">
        <f t="shared" si="5"/>
        <v>-108.89999999999999</v>
      </c>
    </row>
    <row r="165" spans="1:11" x14ac:dyDescent="0.25">
      <c r="A165" s="9">
        <v>25724</v>
      </c>
      <c r="B165">
        <v>1</v>
      </c>
      <c r="C165">
        <v>8</v>
      </c>
      <c r="D165">
        <v>5.4400000000000004E-3</v>
      </c>
      <c r="E165">
        <v>2.4</v>
      </c>
      <c r="F165">
        <v>0.71199999999999997</v>
      </c>
      <c r="G165">
        <v>2.3999999999999998E-3</v>
      </c>
      <c r="H165">
        <v>47.4</v>
      </c>
      <c r="I165">
        <v>0.71699999999999997</v>
      </c>
      <c r="J165">
        <f t="shared" si="4"/>
        <v>3.0400000000000006E-3</v>
      </c>
      <c r="K165" s="1">
        <f t="shared" si="5"/>
        <v>-45</v>
      </c>
    </row>
    <row r="166" spans="1:11" x14ac:dyDescent="0.25">
      <c r="A166" s="9">
        <v>28226</v>
      </c>
      <c r="B166">
        <v>1</v>
      </c>
      <c r="C166">
        <v>8</v>
      </c>
      <c r="D166">
        <v>3.8500000000000001E-3</v>
      </c>
      <c r="E166">
        <v>7.3</v>
      </c>
      <c r="F166">
        <v>0.96799999999999997</v>
      </c>
      <c r="G166">
        <v>3.5599999999999998E-3</v>
      </c>
      <c r="H166">
        <v>20.2</v>
      </c>
      <c r="I166">
        <v>0.97599999999999998</v>
      </c>
      <c r="J166">
        <f t="shared" si="4"/>
        <v>2.9000000000000033E-4</v>
      </c>
      <c r="K166" s="1">
        <f t="shared" si="5"/>
        <v>-12.899999999999999</v>
      </c>
    </row>
    <row r="167" spans="1:11" x14ac:dyDescent="0.25">
      <c r="A167" s="9">
        <v>28474</v>
      </c>
      <c r="B167">
        <v>2</v>
      </c>
      <c r="C167">
        <v>8</v>
      </c>
      <c r="D167">
        <v>4.1200000000000004E-3</v>
      </c>
      <c r="E167">
        <v>-0.7</v>
      </c>
      <c r="F167">
        <v>0.90900000000000003</v>
      </c>
      <c r="G167">
        <v>2.7599999999999999E-3</v>
      </c>
      <c r="H167">
        <v>-26.6</v>
      </c>
      <c r="I167">
        <v>0.878</v>
      </c>
      <c r="J167">
        <f t="shared" si="4"/>
        <v>1.3600000000000005E-3</v>
      </c>
      <c r="K167" s="1">
        <f t="shared" si="5"/>
        <v>25.900000000000002</v>
      </c>
    </row>
    <row r="168" spans="1:11" x14ac:dyDescent="0.25">
      <c r="A168" s="9">
        <v>28572</v>
      </c>
      <c r="B168">
        <v>2</v>
      </c>
      <c r="C168">
        <v>8</v>
      </c>
      <c r="D168">
        <v>1.8500000000000001E-3</v>
      </c>
      <c r="E168">
        <v>13.5</v>
      </c>
      <c r="F168">
        <v>0.71899999999999997</v>
      </c>
      <c r="G168">
        <v>3.3700000000000002E-3</v>
      </c>
      <c r="H168">
        <v>56.4</v>
      </c>
      <c r="I168">
        <v>0.95599999999999996</v>
      </c>
      <c r="J168">
        <f t="shared" si="4"/>
        <v>-1.5200000000000001E-3</v>
      </c>
      <c r="K168" s="1">
        <f t="shared" si="5"/>
        <v>-42.9</v>
      </c>
    </row>
    <row r="169" spans="1:11" x14ac:dyDescent="0.25">
      <c r="A169" s="9">
        <v>28597</v>
      </c>
      <c r="B169">
        <v>2</v>
      </c>
      <c r="C169">
        <v>8</v>
      </c>
      <c r="D169">
        <v>2.2000000000000001E-3</v>
      </c>
      <c r="E169">
        <v>-17.8</v>
      </c>
      <c r="F169">
        <v>0.69699999999999995</v>
      </c>
      <c r="G169">
        <v>4.28E-3</v>
      </c>
      <c r="H169">
        <v>-26.8</v>
      </c>
      <c r="I169">
        <v>0.79500000000000004</v>
      </c>
      <c r="J169">
        <f t="shared" si="4"/>
        <v>-2.0799999999999998E-3</v>
      </c>
      <c r="K169" s="1">
        <f t="shared" si="5"/>
        <v>9</v>
      </c>
    </row>
    <row r="170" spans="1:11" x14ac:dyDescent="0.25">
      <c r="A170" s="9">
        <v>28608</v>
      </c>
      <c r="B170">
        <v>1</v>
      </c>
      <c r="C170">
        <v>8</v>
      </c>
      <c r="D170">
        <v>3.4299999999999999E-3</v>
      </c>
      <c r="E170">
        <v>-19.3</v>
      </c>
      <c r="F170">
        <v>0.83</v>
      </c>
      <c r="G170">
        <v>2.4299999999999999E-3</v>
      </c>
      <c r="H170">
        <v>-37.700000000000003</v>
      </c>
      <c r="I170">
        <v>0.52300000000000002</v>
      </c>
      <c r="J170">
        <f t="shared" si="4"/>
        <v>1E-3</v>
      </c>
      <c r="K170" s="1">
        <f t="shared" si="5"/>
        <v>18.400000000000002</v>
      </c>
    </row>
    <row r="171" spans="1:11" x14ac:dyDescent="0.25">
      <c r="A171" s="9">
        <v>28609</v>
      </c>
      <c r="B171">
        <v>1</v>
      </c>
      <c r="C171">
        <v>8</v>
      </c>
      <c r="D171">
        <v>5.7200000000000003E-3</v>
      </c>
      <c r="E171">
        <v>-16.7</v>
      </c>
      <c r="F171">
        <v>0.97599999999999998</v>
      </c>
      <c r="G171">
        <v>5.9300000000000004E-3</v>
      </c>
      <c r="H171">
        <v>-12.7</v>
      </c>
      <c r="I171">
        <v>0.98399999999999999</v>
      </c>
      <c r="J171">
        <f t="shared" si="4"/>
        <v>-2.1000000000000012E-4</v>
      </c>
      <c r="K171" s="1">
        <f t="shared" si="5"/>
        <v>-4</v>
      </c>
    </row>
    <row r="172" spans="1:11" x14ac:dyDescent="0.25">
      <c r="A172" s="9">
        <v>28632</v>
      </c>
      <c r="B172">
        <v>2</v>
      </c>
      <c r="C172">
        <v>8</v>
      </c>
      <c r="D172">
        <v>7.4400000000000004E-3</v>
      </c>
      <c r="E172">
        <v>-20.3</v>
      </c>
      <c r="F172">
        <v>0.65200000000000002</v>
      </c>
      <c r="G172">
        <v>1.3979999999999999E-2</v>
      </c>
      <c r="H172">
        <v>-21.2</v>
      </c>
      <c r="I172">
        <v>0.95099999999999996</v>
      </c>
      <c r="J172">
        <f t="shared" si="4"/>
        <v>-6.5399999999999989E-3</v>
      </c>
      <c r="K172" s="1">
        <f t="shared" si="5"/>
        <v>0.89999999999999858</v>
      </c>
    </row>
    <row r="173" spans="1:11" x14ac:dyDescent="0.25">
      <c r="A173" s="9">
        <v>28664</v>
      </c>
      <c r="B173">
        <v>2</v>
      </c>
      <c r="C173">
        <v>8</v>
      </c>
      <c r="D173">
        <v>7.6099999999999996E-3</v>
      </c>
      <c r="E173">
        <v>-28.7</v>
      </c>
      <c r="F173">
        <v>0.84199999999999997</v>
      </c>
      <c r="G173">
        <v>6.3600000000000002E-3</v>
      </c>
      <c r="H173">
        <v>-16.899999999999999</v>
      </c>
      <c r="I173">
        <v>0.95099999999999996</v>
      </c>
      <c r="J173">
        <f t="shared" si="4"/>
        <v>1.2499999999999994E-3</v>
      </c>
      <c r="K173" s="1">
        <f t="shared" si="5"/>
        <v>-11.8</v>
      </c>
    </row>
    <row r="174" spans="1:11" x14ac:dyDescent="0.25">
      <c r="A174" s="9">
        <v>28669</v>
      </c>
      <c r="B174">
        <v>1</v>
      </c>
      <c r="C174">
        <v>8</v>
      </c>
      <c r="D174">
        <v>6.2199999999999998E-3</v>
      </c>
      <c r="E174">
        <v>13.3</v>
      </c>
      <c r="F174">
        <v>0.90200000000000002</v>
      </c>
      <c r="G174">
        <v>5.8300000000000001E-3</v>
      </c>
      <c r="H174">
        <v>6.3</v>
      </c>
      <c r="I174">
        <v>0.91900000000000004</v>
      </c>
      <c r="J174">
        <f t="shared" si="4"/>
        <v>3.8999999999999972E-4</v>
      </c>
      <c r="K174" s="1">
        <f t="shared" si="5"/>
        <v>7.0000000000000009</v>
      </c>
    </row>
    <row r="175" spans="1:11" x14ac:dyDescent="0.25">
      <c r="A175" s="9">
        <v>28873</v>
      </c>
      <c r="B175">
        <v>2</v>
      </c>
      <c r="C175">
        <v>8</v>
      </c>
      <c r="D175">
        <v>3.8800000000000002E-3</v>
      </c>
      <c r="E175">
        <v>-30.1</v>
      </c>
      <c r="F175">
        <v>0.27800000000000002</v>
      </c>
      <c r="G175">
        <v>7.5500000000000003E-3</v>
      </c>
      <c r="H175">
        <v>-42.7</v>
      </c>
      <c r="I175">
        <v>0.63200000000000001</v>
      </c>
      <c r="J175">
        <f t="shared" si="4"/>
        <v>-3.6700000000000001E-3</v>
      </c>
      <c r="K175" s="1">
        <f t="shared" si="5"/>
        <v>12.600000000000001</v>
      </c>
    </row>
    <row r="176" spans="1:11" x14ac:dyDescent="0.25">
      <c r="A176" s="9">
        <v>28904</v>
      </c>
      <c r="B176">
        <v>1</v>
      </c>
      <c r="C176">
        <v>8</v>
      </c>
      <c r="D176">
        <v>6.5399999999999998E-3</v>
      </c>
      <c r="E176">
        <v>-40.1</v>
      </c>
      <c r="F176">
        <v>0.79100000000000004</v>
      </c>
      <c r="G176">
        <v>3.3E-3</v>
      </c>
      <c r="H176">
        <v>-14.2</v>
      </c>
      <c r="I176">
        <v>0.91500000000000004</v>
      </c>
      <c r="J176">
        <f t="shared" si="4"/>
        <v>3.2399999999999998E-3</v>
      </c>
      <c r="K176" s="1">
        <f t="shared" si="5"/>
        <v>-25.900000000000002</v>
      </c>
    </row>
    <row r="177" spans="1:11" x14ac:dyDescent="0.25">
      <c r="A177" s="10">
        <v>28925</v>
      </c>
      <c r="B177" s="2">
        <v>2</v>
      </c>
      <c r="C177" s="2">
        <v>8</v>
      </c>
      <c r="D177" s="2">
        <v>6.9699999999999996E-3</v>
      </c>
      <c r="E177" s="2">
        <v>-18.399999999999999</v>
      </c>
      <c r="F177" s="2">
        <v>0.85699999999999998</v>
      </c>
      <c r="G177" s="2">
        <v>6.2399999999999999E-3</v>
      </c>
      <c r="H177" s="2">
        <v>-11.9</v>
      </c>
      <c r="I177" s="2">
        <v>0.92300000000000004</v>
      </c>
      <c r="J177" s="2">
        <f t="shared" si="4"/>
        <v>7.2999999999999975E-4</v>
      </c>
      <c r="K177" s="3">
        <f t="shared" si="5"/>
        <v>-6.4999999999999982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D9B8-6E44-4086-A7A0-2454FA1E4DDE}">
  <dimension ref="A1:P44"/>
  <sheetViews>
    <sheetView workbookViewId="0">
      <selection activeCell="N37" sqref="N37"/>
    </sheetView>
  </sheetViews>
  <sheetFormatPr defaultRowHeight="15" x14ac:dyDescent="0.25"/>
  <sheetData>
    <row r="1" spans="1:16" x14ac:dyDescent="0.25">
      <c r="A1" s="1">
        <v>15072</v>
      </c>
      <c r="B1">
        <v>1</v>
      </c>
      <c r="C1">
        <v>7</v>
      </c>
      <c r="D1">
        <v>1.166E-2</v>
      </c>
      <c r="E1">
        <v>-31.1</v>
      </c>
      <c r="F1">
        <v>0.85199999999999998</v>
      </c>
      <c r="G1">
        <v>6.8100000000000001E-3</v>
      </c>
      <c r="H1">
        <v>-18.2</v>
      </c>
      <c r="I1">
        <v>0.54</v>
      </c>
      <c r="J1">
        <v>8</v>
      </c>
      <c r="K1">
        <v>9.8399999999999998E-3</v>
      </c>
      <c r="L1">
        <v>12.3</v>
      </c>
      <c r="M1">
        <v>0.91400000000000003</v>
      </c>
      <c r="N1">
        <v>7.1500000000000001E-3</v>
      </c>
      <c r="O1">
        <v>-12.3</v>
      </c>
      <c r="P1">
        <v>0.76400000000000001</v>
      </c>
    </row>
    <row r="2" spans="1:16" x14ac:dyDescent="0.25">
      <c r="A2" s="1">
        <v>16418</v>
      </c>
      <c r="B2">
        <v>1</v>
      </c>
      <c r="C2">
        <v>7</v>
      </c>
      <c r="D2">
        <v>6.0600000000000003E-3</v>
      </c>
      <c r="E2">
        <v>-34.200000000000003</v>
      </c>
      <c r="F2">
        <v>0.92400000000000004</v>
      </c>
      <c r="G2">
        <v>3.81E-3</v>
      </c>
      <c r="H2">
        <v>-3.7</v>
      </c>
      <c r="I2">
        <v>0.97499999999999998</v>
      </c>
      <c r="J2">
        <v>8</v>
      </c>
      <c r="K2">
        <v>5.6699999999999997E-3</v>
      </c>
      <c r="L2">
        <v>-26.2</v>
      </c>
      <c r="M2">
        <v>0.92500000000000004</v>
      </c>
      <c r="N2">
        <v>4.5799999999999999E-3</v>
      </c>
      <c r="O2">
        <v>-2.7</v>
      </c>
      <c r="P2">
        <v>0.96299999999999997</v>
      </c>
    </row>
    <row r="3" spans="1:16" x14ac:dyDescent="0.25">
      <c r="A3" s="1">
        <v>21605</v>
      </c>
      <c r="B3">
        <v>1</v>
      </c>
      <c r="C3">
        <v>7</v>
      </c>
      <c r="D3">
        <v>1.2200000000000001E-2</v>
      </c>
      <c r="E3">
        <v>-22.7</v>
      </c>
      <c r="F3">
        <v>0.871</v>
      </c>
      <c r="G3">
        <v>3.8400000000000001E-3</v>
      </c>
      <c r="H3">
        <v>116.4</v>
      </c>
      <c r="I3">
        <v>0.63800000000000001</v>
      </c>
      <c r="J3">
        <v>8</v>
      </c>
      <c r="K3">
        <v>1.2800000000000001E-2</v>
      </c>
      <c r="L3">
        <v>4</v>
      </c>
      <c r="M3">
        <v>0.94199999999999995</v>
      </c>
      <c r="N3">
        <v>5.0499999999999998E-3</v>
      </c>
      <c r="O3">
        <v>75.7</v>
      </c>
      <c r="P3">
        <v>0.78</v>
      </c>
    </row>
    <row r="4" spans="1:16" x14ac:dyDescent="0.25">
      <c r="A4" s="1">
        <v>24465</v>
      </c>
      <c r="B4">
        <v>1</v>
      </c>
      <c r="C4">
        <v>7</v>
      </c>
      <c r="D4">
        <v>6.4900000000000001E-3</v>
      </c>
      <c r="E4">
        <v>-21.8</v>
      </c>
      <c r="F4">
        <v>0.76900000000000002</v>
      </c>
      <c r="G4">
        <v>4.3E-3</v>
      </c>
      <c r="H4">
        <v>26.8</v>
      </c>
      <c r="I4">
        <v>0.81499999999999995</v>
      </c>
      <c r="J4">
        <v>8</v>
      </c>
      <c r="K4">
        <v>5.4599999999999996E-3</v>
      </c>
      <c r="L4">
        <v>-13.6</v>
      </c>
      <c r="M4">
        <v>0.68700000000000006</v>
      </c>
      <c r="N4">
        <v>4.8799999999999998E-3</v>
      </c>
      <c r="O4">
        <v>15.8</v>
      </c>
      <c r="P4">
        <v>0.82899999999999996</v>
      </c>
    </row>
    <row r="5" spans="1:16" x14ac:dyDescent="0.25">
      <c r="A5" s="1">
        <v>25724</v>
      </c>
      <c r="B5">
        <v>1</v>
      </c>
      <c r="C5">
        <v>7</v>
      </c>
      <c r="D5">
        <v>6.11E-3</v>
      </c>
      <c r="E5">
        <v>23</v>
      </c>
      <c r="F5">
        <v>0.70399999999999996</v>
      </c>
      <c r="G5">
        <v>5.2199999999999998E-3</v>
      </c>
      <c r="H5">
        <v>14.9</v>
      </c>
      <c r="I5">
        <v>0.73</v>
      </c>
      <c r="J5">
        <v>8</v>
      </c>
      <c r="K5">
        <v>5.4400000000000004E-3</v>
      </c>
      <c r="L5">
        <v>2.4</v>
      </c>
      <c r="M5">
        <v>0.71199999999999997</v>
      </c>
      <c r="N5">
        <v>2.3999999999999998E-3</v>
      </c>
      <c r="O5">
        <v>47.4</v>
      </c>
      <c r="P5">
        <v>0.71699999999999997</v>
      </c>
    </row>
    <row r="6" spans="1:16" x14ac:dyDescent="0.25">
      <c r="A6" s="1">
        <v>28226</v>
      </c>
      <c r="B6">
        <v>1</v>
      </c>
      <c r="C6">
        <v>7</v>
      </c>
      <c r="D6">
        <v>3.62E-3</v>
      </c>
      <c r="E6">
        <v>1.5</v>
      </c>
      <c r="F6">
        <v>0.97899999999999998</v>
      </c>
      <c r="G6">
        <v>3.9500000000000004E-3</v>
      </c>
      <c r="H6">
        <v>3</v>
      </c>
      <c r="I6">
        <v>0.98499999999999999</v>
      </c>
      <c r="J6">
        <v>8</v>
      </c>
      <c r="K6">
        <v>3.8500000000000001E-3</v>
      </c>
      <c r="L6">
        <v>7.3</v>
      </c>
      <c r="M6">
        <v>0.96799999999999997</v>
      </c>
      <c r="N6">
        <v>3.5599999999999998E-3</v>
      </c>
      <c r="O6">
        <v>20.2</v>
      </c>
      <c r="P6">
        <v>0.97599999999999998</v>
      </c>
    </row>
    <row r="7" spans="1:16" x14ac:dyDescent="0.25">
      <c r="A7" s="1">
        <v>28608</v>
      </c>
      <c r="B7">
        <v>1</v>
      </c>
      <c r="C7">
        <v>7</v>
      </c>
      <c r="D7">
        <v>4.3699999999999998E-3</v>
      </c>
      <c r="E7">
        <v>-29.1</v>
      </c>
      <c r="F7">
        <v>0.91</v>
      </c>
      <c r="G7">
        <v>3.1700000000000001E-3</v>
      </c>
      <c r="H7">
        <v>-32.799999999999997</v>
      </c>
      <c r="I7">
        <v>0.83699999999999997</v>
      </c>
      <c r="J7">
        <v>8</v>
      </c>
      <c r="K7">
        <v>3.4299999999999999E-3</v>
      </c>
      <c r="L7">
        <v>-19.3</v>
      </c>
      <c r="M7">
        <v>0.83</v>
      </c>
      <c r="N7">
        <v>2.4299999999999999E-3</v>
      </c>
      <c r="O7">
        <v>-37.700000000000003</v>
      </c>
      <c r="P7">
        <v>0.52300000000000002</v>
      </c>
    </row>
    <row r="8" spans="1:16" x14ac:dyDescent="0.25">
      <c r="A8" s="1">
        <v>28609</v>
      </c>
      <c r="B8">
        <v>1</v>
      </c>
      <c r="C8">
        <v>7</v>
      </c>
      <c r="D8">
        <v>6.45E-3</v>
      </c>
      <c r="E8">
        <v>-14.7</v>
      </c>
      <c r="F8">
        <v>0.94499999999999995</v>
      </c>
      <c r="G8">
        <v>7.0499999999999998E-3</v>
      </c>
      <c r="H8">
        <v>-14.1</v>
      </c>
      <c r="I8">
        <v>0.98599999999999999</v>
      </c>
      <c r="J8">
        <v>8</v>
      </c>
      <c r="K8">
        <v>5.7200000000000003E-3</v>
      </c>
      <c r="L8">
        <v>-16.7</v>
      </c>
      <c r="M8">
        <v>0.97599999999999998</v>
      </c>
      <c r="N8">
        <v>5.9300000000000004E-3</v>
      </c>
      <c r="O8">
        <v>-12.7</v>
      </c>
      <c r="P8">
        <v>0.98399999999999999</v>
      </c>
    </row>
    <row r="9" spans="1:16" x14ac:dyDescent="0.25">
      <c r="A9" s="1">
        <v>28669</v>
      </c>
      <c r="B9">
        <v>1</v>
      </c>
      <c r="C9">
        <v>7</v>
      </c>
      <c r="D9">
        <v>5.8399999999999997E-3</v>
      </c>
      <c r="E9">
        <v>6.6</v>
      </c>
      <c r="F9">
        <v>0.91700000000000004</v>
      </c>
      <c r="G9">
        <v>5.64E-3</v>
      </c>
      <c r="H9">
        <v>6.3</v>
      </c>
      <c r="I9">
        <v>0.94099999999999995</v>
      </c>
      <c r="J9">
        <v>8</v>
      </c>
      <c r="K9">
        <v>6.2199999999999998E-3</v>
      </c>
      <c r="L9">
        <v>13.3</v>
      </c>
      <c r="M9">
        <v>0.90200000000000002</v>
      </c>
      <c r="N9">
        <v>5.8300000000000001E-3</v>
      </c>
      <c r="O9">
        <v>6.3</v>
      </c>
      <c r="P9">
        <v>0.91900000000000004</v>
      </c>
    </row>
    <row r="10" spans="1:16" s="2" customFormat="1" x14ac:dyDescent="0.25">
      <c r="A10" s="3">
        <v>28904</v>
      </c>
      <c r="B10" s="2">
        <v>1</v>
      </c>
      <c r="C10" s="2">
        <v>7</v>
      </c>
      <c r="D10" s="2">
        <v>7.9299999999999995E-3</v>
      </c>
      <c r="E10" s="2">
        <v>-70.7</v>
      </c>
      <c r="F10" s="2">
        <v>0.80700000000000005</v>
      </c>
      <c r="G10" s="2">
        <v>4.6800000000000001E-3</v>
      </c>
      <c r="H10" s="2">
        <v>-32</v>
      </c>
      <c r="I10" s="2">
        <v>0.95399999999999996</v>
      </c>
      <c r="J10" s="2">
        <v>8</v>
      </c>
      <c r="K10" s="2">
        <v>6.5399999999999998E-3</v>
      </c>
      <c r="L10" s="2">
        <v>-40.1</v>
      </c>
      <c r="M10" s="2">
        <v>0.79100000000000004</v>
      </c>
      <c r="N10" s="2">
        <v>3.3E-3</v>
      </c>
      <c r="O10" s="2">
        <v>-14.2</v>
      </c>
      <c r="P10" s="2">
        <v>0.91500000000000004</v>
      </c>
    </row>
    <row r="11" spans="1:16" x14ac:dyDescent="0.25">
      <c r="A11" s="1">
        <v>12625</v>
      </c>
      <c r="B11">
        <v>2</v>
      </c>
      <c r="C11">
        <v>7</v>
      </c>
      <c r="D11">
        <v>2.5000000000000001E-3</v>
      </c>
      <c r="E11">
        <v>23.1</v>
      </c>
      <c r="F11">
        <v>0.41</v>
      </c>
      <c r="G11">
        <v>5.6899999999999997E-3</v>
      </c>
      <c r="H11">
        <v>-43.6</v>
      </c>
      <c r="I11">
        <v>0.44900000000000001</v>
      </c>
      <c r="J11">
        <v>8</v>
      </c>
      <c r="K11">
        <v>3.5599999999999998E-3</v>
      </c>
      <c r="L11">
        <v>8.1</v>
      </c>
      <c r="M11">
        <v>0.53700000000000003</v>
      </c>
      <c r="N11">
        <v>4.0099999999999997E-3</v>
      </c>
      <c r="O11">
        <v>-35.5</v>
      </c>
      <c r="P11">
        <v>0.44800000000000001</v>
      </c>
    </row>
    <row r="12" spans="1:16" x14ac:dyDescent="0.25">
      <c r="A12" s="1">
        <v>22060</v>
      </c>
      <c r="B12">
        <v>2</v>
      </c>
      <c r="C12">
        <v>7</v>
      </c>
      <c r="D12">
        <v>1.191E-2</v>
      </c>
      <c r="E12">
        <v>-10.4</v>
      </c>
      <c r="F12">
        <v>0.95799999999999996</v>
      </c>
      <c r="G12">
        <v>5.8999999999999999E-3</v>
      </c>
      <c r="H12">
        <v>-38.9</v>
      </c>
      <c r="I12">
        <v>0.96499999999999997</v>
      </c>
      <c r="J12">
        <v>8</v>
      </c>
      <c r="K12">
        <v>1.128E-2</v>
      </c>
      <c r="L12">
        <v>-4.5999999999999996</v>
      </c>
      <c r="M12">
        <v>0.96599999999999997</v>
      </c>
      <c r="N12">
        <v>5.9699999999999996E-3</v>
      </c>
      <c r="O12">
        <v>-11.9</v>
      </c>
      <c r="P12">
        <v>0.91600000000000004</v>
      </c>
    </row>
    <row r="13" spans="1:16" x14ac:dyDescent="0.25">
      <c r="A13" s="1">
        <v>24687</v>
      </c>
      <c r="B13">
        <v>2</v>
      </c>
      <c r="C13">
        <v>7</v>
      </c>
      <c r="D13">
        <v>1.274E-2</v>
      </c>
      <c r="E13">
        <v>-6.3</v>
      </c>
      <c r="F13">
        <v>0.91</v>
      </c>
      <c r="G13">
        <v>9.2099999999999994E-3</v>
      </c>
      <c r="H13">
        <v>-19.3</v>
      </c>
      <c r="I13">
        <v>0.94199999999999995</v>
      </c>
      <c r="J13">
        <v>8</v>
      </c>
      <c r="K13">
        <v>1.2829999999999999E-2</v>
      </c>
      <c r="L13">
        <v>-16.5</v>
      </c>
      <c r="M13">
        <v>0.92800000000000005</v>
      </c>
      <c r="N13">
        <v>1.1990000000000001E-2</v>
      </c>
      <c r="O13">
        <v>-15.5</v>
      </c>
      <c r="P13">
        <v>0.94499999999999995</v>
      </c>
    </row>
    <row r="14" spans="1:16" x14ac:dyDescent="0.25">
      <c r="A14" s="1">
        <v>25121</v>
      </c>
      <c r="B14">
        <v>2</v>
      </c>
      <c r="C14">
        <v>7</v>
      </c>
      <c r="D14">
        <v>4.8999999999999998E-3</v>
      </c>
      <c r="E14">
        <v>3.7</v>
      </c>
      <c r="F14">
        <v>0.95399999999999996</v>
      </c>
      <c r="G14">
        <v>6.5100000000000002E-3</v>
      </c>
      <c r="H14">
        <v>-4.9000000000000004</v>
      </c>
      <c r="I14">
        <v>0.97099999999999997</v>
      </c>
      <c r="J14">
        <v>8</v>
      </c>
      <c r="K14">
        <v>5.9899999999999997E-3</v>
      </c>
      <c r="L14">
        <v>-7.7</v>
      </c>
      <c r="M14">
        <v>0.96</v>
      </c>
      <c r="N14">
        <v>5.7000000000000002E-3</v>
      </c>
      <c r="O14">
        <v>-5.7</v>
      </c>
      <c r="P14">
        <v>0.94899999999999995</v>
      </c>
    </row>
    <row r="15" spans="1:16" x14ac:dyDescent="0.25">
      <c r="A15" s="1">
        <v>25463</v>
      </c>
      <c r="B15">
        <v>2</v>
      </c>
      <c r="C15">
        <v>7</v>
      </c>
      <c r="D15">
        <v>2.7599999999999999E-3</v>
      </c>
      <c r="E15">
        <v>20</v>
      </c>
      <c r="F15">
        <v>0.92900000000000005</v>
      </c>
      <c r="G15">
        <v>2.5999999999999999E-3</v>
      </c>
      <c r="H15">
        <v>6.9</v>
      </c>
      <c r="I15">
        <v>0.86199999999999999</v>
      </c>
      <c r="J15">
        <v>8</v>
      </c>
      <c r="K15">
        <v>1.7600000000000001E-3</v>
      </c>
      <c r="L15">
        <v>-95.1</v>
      </c>
      <c r="M15">
        <v>0.73899999999999999</v>
      </c>
      <c r="N15">
        <v>1.66E-3</v>
      </c>
      <c r="O15">
        <v>13.8</v>
      </c>
      <c r="P15">
        <v>0.80100000000000005</v>
      </c>
    </row>
    <row r="16" spans="1:16" x14ac:dyDescent="0.25">
      <c r="A16" s="1">
        <v>28474</v>
      </c>
      <c r="B16">
        <v>2</v>
      </c>
      <c r="C16">
        <v>7</v>
      </c>
      <c r="D16">
        <v>3.3800000000000002E-3</v>
      </c>
      <c r="E16">
        <v>6.8</v>
      </c>
      <c r="F16">
        <v>0.91800000000000004</v>
      </c>
      <c r="G16">
        <v>3.3E-3</v>
      </c>
      <c r="H16">
        <v>-33.4</v>
      </c>
      <c r="I16">
        <v>0.95899999999999996</v>
      </c>
      <c r="J16">
        <v>8</v>
      </c>
      <c r="K16">
        <v>4.1200000000000004E-3</v>
      </c>
      <c r="L16">
        <v>-0.7</v>
      </c>
      <c r="M16">
        <v>0.90900000000000003</v>
      </c>
      <c r="N16">
        <v>2.7599999999999999E-3</v>
      </c>
      <c r="O16">
        <v>-26.6</v>
      </c>
      <c r="P16">
        <v>0.878</v>
      </c>
    </row>
    <row r="17" spans="1:16" x14ac:dyDescent="0.25">
      <c r="A17" s="1">
        <v>28572</v>
      </c>
      <c r="B17">
        <v>2</v>
      </c>
      <c r="C17">
        <v>7</v>
      </c>
      <c r="D17">
        <v>1.8500000000000001E-3</v>
      </c>
      <c r="E17">
        <v>33.9</v>
      </c>
      <c r="F17">
        <v>0.66400000000000003</v>
      </c>
      <c r="G17">
        <v>4.0299999999999997E-3</v>
      </c>
      <c r="H17">
        <v>32</v>
      </c>
      <c r="I17">
        <v>0.93899999999999995</v>
      </c>
      <c r="J17">
        <v>8</v>
      </c>
      <c r="K17">
        <v>1.8500000000000001E-3</v>
      </c>
      <c r="L17">
        <v>13.5</v>
      </c>
      <c r="M17">
        <v>0.71899999999999997</v>
      </c>
      <c r="N17">
        <v>3.3700000000000002E-3</v>
      </c>
      <c r="O17">
        <v>56.4</v>
      </c>
      <c r="P17">
        <v>0.95599999999999996</v>
      </c>
    </row>
    <row r="18" spans="1:16" x14ac:dyDescent="0.25">
      <c r="A18" s="1">
        <v>28597</v>
      </c>
      <c r="B18">
        <v>2</v>
      </c>
      <c r="C18">
        <v>7</v>
      </c>
      <c r="D18">
        <v>3.13E-3</v>
      </c>
      <c r="E18">
        <v>-91.3</v>
      </c>
      <c r="F18">
        <v>0.58699999999999997</v>
      </c>
      <c r="G18">
        <v>4.0600000000000002E-3</v>
      </c>
      <c r="H18">
        <v>-53.3</v>
      </c>
      <c r="I18">
        <v>0.83699999999999997</v>
      </c>
      <c r="J18">
        <v>8</v>
      </c>
      <c r="K18">
        <v>2.2000000000000001E-3</v>
      </c>
      <c r="L18">
        <v>-17.8</v>
      </c>
      <c r="M18">
        <v>0.69699999999999995</v>
      </c>
      <c r="N18">
        <v>4.28E-3</v>
      </c>
      <c r="O18">
        <v>-26.8</v>
      </c>
      <c r="P18">
        <v>0.79500000000000004</v>
      </c>
    </row>
    <row r="19" spans="1:16" x14ac:dyDescent="0.25">
      <c r="A19" s="1">
        <v>28632</v>
      </c>
      <c r="B19">
        <v>2</v>
      </c>
      <c r="C19">
        <v>7</v>
      </c>
      <c r="D19">
        <v>8.5199999999999998E-3</v>
      </c>
      <c r="E19">
        <v>-20.6</v>
      </c>
      <c r="F19">
        <v>0.80600000000000005</v>
      </c>
      <c r="G19">
        <v>1.436E-2</v>
      </c>
      <c r="H19">
        <v>-6</v>
      </c>
      <c r="I19">
        <v>0.95599999999999996</v>
      </c>
      <c r="J19">
        <v>8</v>
      </c>
      <c r="K19">
        <v>7.4400000000000004E-3</v>
      </c>
      <c r="L19">
        <v>-20.3</v>
      </c>
      <c r="M19">
        <v>0.65200000000000002</v>
      </c>
      <c r="N19">
        <v>1.3979999999999999E-2</v>
      </c>
      <c r="O19">
        <v>-21.2</v>
      </c>
      <c r="P19">
        <v>0.95099999999999996</v>
      </c>
    </row>
    <row r="20" spans="1:16" x14ac:dyDescent="0.25">
      <c r="A20" s="1">
        <v>28664</v>
      </c>
      <c r="B20">
        <v>2</v>
      </c>
      <c r="C20">
        <v>7</v>
      </c>
      <c r="D20">
        <v>7.4999999999999997E-3</v>
      </c>
      <c r="E20">
        <v>-18.5</v>
      </c>
      <c r="F20">
        <v>0.90200000000000002</v>
      </c>
      <c r="G20">
        <v>6.0099999999999997E-3</v>
      </c>
      <c r="H20">
        <v>-11.3</v>
      </c>
      <c r="I20">
        <v>0.92</v>
      </c>
      <c r="J20">
        <v>8</v>
      </c>
      <c r="K20">
        <v>7.6099999999999996E-3</v>
      </c>
      <c r="L20">
        <v>-28.7</v>
      </c>
      <c r="M20">
        <v>0.84199999999999997</v>
      </c>
      <c r="N20">
        <v>6.3600000000000002E-3</v>
      </c>
      <c r="O20">
        <v>-16.899999999999999</v>
      </c>
      <c r="P20">
        <v>0.95099999999999996</v>
      </c>
    </row>
    <row r="21" spans="1:16" x14ac:dyDescent="0.25">
      <c r="A21" s="1">
        <v>28873</v>
      </c>
      <c r="B21">
        <v>2</v>
      </c>
      <c r="C21">
        <v>7</v>
      </c>
      <c r="D21">
        <v>4.5999999999999999E-3</v>
      </c>
      <c r="E21">
        <v>-47.4</v>
      </c>
      <c r="F21">
        <v>0.373</v>
      </c>
      <c r="G21">
        <v>9.9500000000000005E-3</v>
      </c>
      <c r="H21">
        <v>-84.6</v>
      </c>
      <c r="I21">
        <v>0.6</v>
      </c>
      <c r="J21">
        <v>8</v>
      </c>
      <c r="K21">
        <v>3.8800000000000002E-3</v>
      </c>
      <c r="L21">
        <v>-30.1</v>
      </c>
      <c r="M21">
        <v>0.27800000000000002</v>
      </c>
      <c r="N21">
        <v>7.5500000000000003E-3</v>
      </c>
      <c r="O21">
        <v>-42.7</v>
      </c>
      <c r="P21">
        <v>0.63200000000000001</v>
      </c>
    </row>
    <row r="22" spans="1:16" x14ac:dyDescent="0.25">
      <c r="A22" s="1">
        <v>28925</v>
      </c>
      <c r="B22">
        <v>2</v>
      </c>
      <c r="C22">
        <v>7</v>
      </c>
      <c r="D22">
        <v>5.9800000000000001E-3</v>
      </c>
      <c r="E22">
        <v>-14.9</v>
      </c>
      <c r="F22">
        <v>0.91600000000000004</v>
      </c>
      <c r="G22" s="2">
        <v>4.9399999999999999E-3</v>
      </c>
      <c r="H22" s="2">
        <v>-11.1</v>
      </c>
      <c r="I22" s="2">
        <v>0.95</v>
      </c>
      <c r="J22">
        <v>8</v>
      </c>
      <c r="K22">
        <v>6.9699999999999996E-3</v>
      </c>
      <c r="L22">
        <v>-18.399999999999999</v>
      </c>
      <c r="M22">
        <v>0.85699999999999998</v>
      </c>
      <c r="N22" s="2">
        <v>6.2399999999999999E-3</v>
      </c>
      <c r="O22" s="2">
        <v>-11.9</v>
      </c>
      <c r="P22" s="2">
        <v>0.92300000000000004</v>
      </c>
    </row>
    <row r="23" spans="1:16" x14ac:dyDescent="0.25">
      <c r="A23" s="1"/>
    </row>
    <row r="24" spans="1:16" x14ac:dyDescent="0.25">
      <c r="A24" s="1"/>
      <c r="G24">
        <f t="shared" ref="G24:P24" si="0">AVERAGE(G1:G10)</f>
        <v>4.8469999999999997E-3</v>
      </c>
      <c r="H24">
        <f t="shared" si="0"/>
        <v>6.6599999999999993</v>
      </c>
      <c r="I24">
        <f t="shared" si="0"/>
        <v>0.84009999999999996</v>
      </c>
      <c r="J24">
        <f t="shared" si="0"/>
        <v>8</v>
      </c>
      <c r="N24">
        <f t="shared" si="0"/>
        <v>4.5109999999999994E-3</v>
      </c>
      <c r="O24">
        <f t="shared" si="0"/>
        <v>8.5799999999999983</v>
      </c>
      <c r="P24">
        <f t="shared" si="0"/>
        <v>0.83699999999999974</v>
      </c>
    </row>
    <row r="25" spans="1:16" x14ac:dyDescent="0.25">
      <c r="A25" s="1"/>
      <c r="G25">
        <f t="shared" ref="G25:P25" si="1">AVERAGE(G11:G22)</f>
        <v>6.3799999999999994E-3</v>
      </c>
      <c r="H25">
        <f t="shared" si="1"/>
        <v>-22.291666666666668</v>
      </c>
      <c r="I25">
        <f t="shared" si="1"/>
        <v>0.86249999999999982</v>
      </c>
      <c r="J25">
        <f t="shared" si="1"/>
        <v>8</v>
      </c>
      <c r="N25">
        <f t="shared" si="1"/>
        <v>6.1558333333333326E-3</v>
      </c>
      <c r="O25">
        <f t="shared" si="1"/>
        <v>-12.04166666666667</v>
      </c>
      <c r="P25">
        <f t="shared" si="1"/>
        <v>0.84541666666666659</v>
      </c>
    </row>
    <row r="26" spans="1:16" x14ac:dyDescent="0.25">
      <c r="A26" s="1"/>
    </row>
    <row r="27" spans="1:16" x14ac:dyDescent="0.25">
      <c r="A27" s="1"/>
      <c r="G27">
        <f>_xlfn.T.TEST(G1:G10,G11:G22,2,2)</f>
        <v>0.18735049505779794</v>
      </c>
      <c r="H27">
        <f t="shared" ref="H27:P27" si="2">_xlfn.T.TEST(H1:H10,H11:H22,2,2)</f>
        <v>8.0913997859966946E-2</v>
      </c>
      <c r="I27">
        <f t="shared" si="2"/>
        <v>0.75156034725971665</v>
      </c>
      <c r="N27">
        <f t="shared" si="2"/>
        <v>0.19922726558022949</v>
      </c>
      <c r="O27">
        <f t="shared" si="2"/>
        <v>0.11728286013810146</v>
      </c>
      <c r="P27">
        <f t="shared" si="2"/>
        <v>0.89887209609488172</v>
      </c>
    </row>
    <row r="28" spans="1:16" x14ac:dyDescent="0.25">
      <c r="A28" s="1"/>
    </row>
    <row r="29" spans="1:16" x14ac:dyDescent="0.25">
      <c r="A29" s="1"/>
    </row>
    <row r="30" spans="1:16" x14ac:dyDescent="0.25">
      <c r="A30" s="1"/>
      <c r="G30">
        <f>STDEV(G1:G10)</f>
        <v>1.3126736922107573E-3</v>
      </c>
      <c r="H30">
        <f t="shared" ref="H30:P30" si="3">STDEV(H1:H10)</f>
        <v>43.125042995147652</v>
      </c>
      <c r="I30">
        <f t="shared" si="3"/>
        <v>0.15892028050426885</v>
      </c>
      <c r="N30">
        <f t="shared" si="3"/>
        <v>1.5743390147402603E-3</v>
      </c>
      <c r="O30">
        <f t="shared" si="3"/>
        <v>33.13483564669265</v>
      </c>
      <c r="P30">
        <f t="shared" si="3"/>
        <v>0.14577455958507529</v>
      </c>
    </row>
    <row r="31" spans="1:16" x14ac:dyDescent="0.25">
      <c r="A31" s="1"/>
      <c r="G31">
        <f>STDEV(G11:G22)</f>
        <v>3.3309539993002847E-3</v>
      </c>
      <c r="H31">
        <f t="shared" ref="H31:P31" si="4">STDEV(H11:H22)</f>
        <v>30.629411246926267</v>
      </c>
      <c r="I31">
        <f t="shared" si="4"/>
        <v>0.16624379687675625</v>
      </c>
      <c r="N31">
        <f t="shared" si="4"/>
        <v>3.6321580320378376E-3</v>
      </c>
      <c r="O31">
        <f t="shared" si="4"/>
        <v>25.992532435763977</v>
      </c>
      <c r="P31">
        <f t="shared" si="4"/>
        <v>0.15818140238538192</v>
      </c>
    </row>
    <row r="32" spans="1:16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</sheetData>
  <sortState xmlns:xlrd2="http://schemas.microsoft.com/office/spreadsheetml/2017/richdata2" ref="A1:P22">
    <sortCondition ref="B1:B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autoregulation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Gosalia, Jigar</dc:creator>
  <cp:lastModifiedBy>Gosalia, Jigar</cp:lastModifiedBy>
  <dcterms:created xsi:type="dcterms:W3CDTF">2024-03-14T16:31:49Z</dcterms:created>
  <dcterms:modified xsi:type="dcterms:W3CDTF">2026-02-27T00:35:36Z</dcterms:modified>
</cp:coreProperties>
</file>